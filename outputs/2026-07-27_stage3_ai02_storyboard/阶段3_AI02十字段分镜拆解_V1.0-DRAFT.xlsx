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d909453ba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创作总览" sheetId="1" r:id="R8520e6280bc343b6"/>
    <x:sheet xmlns:r="http://schemas.openxmlformats.org/officeDocument/2006/relationships" name="十字段分镜" sheetId="2" r:id="R3cddf306f67a4b45"/>
    <x:sheet xmlns:r="http://schemas.openxmlformats.org/officeDocument/2006/relationships" name="时长校验" sheetId="3" r:id="Rf0c13871bb8c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"/>
  </x:numFmts>
  <x:fonts count="17">
    <x:font>
      <x:sz val="11"/>
      <x:name val="Carlito"/>
    </x:font>
    <x:font>
      <x:b/>
      <x:sz val="18"/>
      <x:color rgb="FFFFFFFF"/>
      <x:name val="Carlito"/>
    </x:font>
    <x:font>
      <x:sz val="10"/>
      <x:color rgb="FF23332E"/>
      <x:name val="Carlito"/>
    </x:font>
    <x:font>
      <x:b/>
      <x:sz val="10"/>
      <x:color rgb="FF23332E"/>
      <x:name val="Carlito"/>
    </x:font>
    <x:font>
      <x:b/>
      <x:sz val="12"/>
      <x:color rgb="FF355E52"/>
      <x:name val="Carlito"/>
    </x:font>
    <x:font>
      <x:b/>
      <x:sz val="10"/>
      <x:color rgb="FF684B18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8"/>
      <x:color rgb="FFFFFFFF"/>
      <x:name val="Microsoft YaHei"/>
    </x:font>
    <x:font>
      <x:sz val="10"/>
      <x:color rgb="FF23332E"/>
      <x:name val="Microsoft YaHei"/>
    </x:font>
    <x:font>
      <x:sz val="11"/>
      <x:name val="Microsoft YaHei"/>
    </x:font>
    <x:font>
      <x:b/>
      <x:sz val="10"/>
      <x:color rgb="FF23332E"/>
      <x:name val="Microsoft YaHei"/>
    </x:font>
    <x:font>
      <x:b/>
      <x:sz val="12"/>
      <x:color rgb="FF355E52"/>
      <x:name val="Microsoft YaHei"/>
    </x:font>
    <x:font>
      <x:b/>
      <x:sz val="10"/>
      <x:color rgb="FF684B18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sz val="9"/>
      <x:color rgb="FF23332E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355E52"/>
      </x:patternFill>
    </x:fill>
    <x:fill>
      <x:patternFill patternType="solid">
        <x:fgColor rgb="FFDCE9E3"/>
      </x:patternFill>
    </x:fill>
    <x:fill>
      <x:patternFill patternType="solid">
        <x:fgColor rgb="FFE8F0EC"/>
      </x:patternFill>
    </x:fill>
    <x:fill>
      <x:patternFill patternType="solid">
        <x:fgColor rgb="FFFFFFFF"/>
      </x:patternFill>
    </x:fill>
    <x:fill>
      <x:patternFill patternType="solid">
        <x:fgColor rgb="FFFFF3D6"/>
      </x:patternFill>
    </x:fill>
    <x:fill>
      <x:patternFill patternType="solid">
        <x:fgColor rgb="FF6F8F83"/>
      </x:patternFill>
    </x:fill>
    <x:fill>
      <x:patternFill patternType="solid">
        <x:fgColor rgb="FFEAF1F7"/>
      </x:patternFill>
    </x:fill>
    <x:fill>
      <x:patternFill patternType="solid">
        <x:fgColor rgb="FFF5F8F6"/>
      </x:patternFill>
    </x:fill>
  </x:fills>
  <x:borders count="2">
    <x:border/>
    <x:border>
      <x:left style="thin">
        <x:color rgb="FFCDD8D3"/>
      </x:left>
      <x:right style="thin">
        <x:color rgb="FFCDD8D3"/>
      </x:right>
      <x:top style="thin">
        <x:color rgb="FFCDD8D3"/>
      </x:top>
      <x:bottom style="thin">
        <x:color rgb="FFCDD8D3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200" fontId="3" fillId="4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horizontal="center" vertical="center"/>
    </x:xf>
    <x:xf numFmtId="200" fontId="12" fillId="5" borderId="1" xfId="0" applyNumberFormat="1" applyFont="1" applyFill="1" applyBorder="1" applyAlignment="1">
      <x:alignment horizontal="center" vertical="center"/>
    </x:xf>
    <x:xf numFmtId="201" fontId="11" fillId="4" borderId="1" xfId="0" applyNumberFormat="1" applyFont="1" applyFill="1" applyBorder="1" applyAlignment="1">
      <x:alignment horizontal="center" vertical="center"/>
    </x:xf>
    <x:xf numFmtId="200" fontId="11" fillId="4" borderId="1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/>
    </x:xf>
    <x:xf numFmtId="0" fontId="15" fillId="7" borderId="1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15" fillId="2" borderId="0" xfId="0" applyNumberFormat="1" applyFont="1" applyFill="1" applyBorder="1"/>
    <x:xf numFmtId="0" fontId="15" fillId="2" borderId="1" xfId="0" applyNumberFormat="1" applyFont="1" applyFill="1" applyBorder="1"/>
    <x:xf numFmtId="0" fontId="15" fillId="2" borderId="1" xfId="0" applyNumberFormat="1" applyFont="1" applyFill="1" applyBorder="1" applyAlignment="1">
      <x:alignment wrapText="1"/>
    </x:xf>
    <x:xf numFmtId="0" fontId="15" fillId="2" borderId="1" xfId="0" applyNumberFormat="1" applyFont="1" applyFill="1" applyBorder="1" applyAlignment="1">
      <x:alignment horizontal="center" wrapText="1"/>
    </x:xf>
    <x:xf numFmtId="0" fontId="15" fillId="2" borderId="1" xfId="0" applyNumberFormat="1" applyFont="1" applyFill="1" applyBorder="1" applyAlignment="1">
      <x:alignment horizontal="center" vertical="center" wrapText="1"/>
    </x:xf>
    <x:xf numFmtId="0" fontId="16" fillId="5" borderId="0" xfId="0" applyNumberFormat="1" applyFont="1" applyFill="1" applyBorder="1"/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16" fillId="5" borderId="1" xfId="0" applyNumberFormat="1" applyFont="1" applyFill="1" applyBorder="1" applyAlignment="1">
      <x:alignment vertical="top" wrapText="1"/>
    </x:xf>
    <x:xf numFmtId="0" fontId="16" fillId="9" borderId="1" xfId="0" applyNumberFormat="1" applyFont="1" applyFill="1" applyBorder="1" applyAlignment="1">
      <x:alignment vertical="top" wrapText="1"/>
    </x:xf>
    <x:xf numFmtId="0" fontId="16" fillId="6" borderId="1" xfId="0" applyNumberFormat="1" applyFont="1" applyFill="1" applyBorder="1" applyAlignment="1">
      <x:alignment vertical="top" wrapText="1"/>
    </x:xf>
    <x:xf numFmtId="0" fontId="15" fillId="2" borderId="1" xfId="0" applyNumberFormat="1" applyFont="1" applyFill="1" applyBorder="1" applyAlignment="1">
      <x:alignment horizontal="center"/>
    </x:xf>
    <x:xf numFmtId="0" fontId="15" fillId="2" borderId="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9" fillId="5" borderId="1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202" fontId="9" fillId="5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11" fillId="4" borderId="1" xfId="0" applyNumberFormat="1" applyFont="1" applyFill="1" applyBorder="1"/>
    <x:xf numFmtId="200" fontId="9" fillId="5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11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54b31a3044387" /><Relationship Type="http://schemas.openxmlformats.org/officeDocument/2006/relationships/theme" Target="/xl/theme/theme1.xml" Id="R838956841b134b94" /><Relationship Type="http://schemas.openxmlformats.org/officeDocument/2006/relationships/sharedStrings" Target="/xl/sharedStrings.xml" Id="R9c7989b6b82a4286" /><Relationship Type="http://schemas.openxmlformats.org/officeDocument/2006/relationships/worksheet" Target="/xl/worksheets/sheet1.xml" Id="R8520e6280bc343b6" /><Relationship Type="http://schemas.openxmlformats.org/officeDocument/2006/relationships/worksheet" Target="/xl/worksheets/sheet2.xml" Id="R3cddf306f67a4b45" /><Relationship Type="http://schemas.openxmlformats.org/officeDocument/2006/relationships/worksheet" Target="/xl/worksheets/sheet3.xml" Id="Rf0c13871bb8c4b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3" hidden="0" customWidth="1"/>
    <x:col min="3" max="3" width="16" hidden="0" customWidth="1"/>
    <x:col min="4" max="4" width="42" hidden="0" customWidth="1"/>
    <x:col min="5" max="5" width="16" hidden="0" customWidth="1"/>
    <x:col min="6" max="6" width="12" hidden="0" customWidth="1"/>
    <x:col min="7" max="7" width="15" hidden="0" customWidth="1"/>
    <x:col min="8" max="8" width="30" hidden="0" customWidth="1"/>
    <x:col min="9" max="9" width="30" hidden="0" customWidth="1"/>
    <x:col min="10" max="10" width="15" hidden="0" customWidth="1"/>
  </x:cols>
  <x:sheetData>
    <x:row r="1" ht="34" customHeight="1">
      <x:c r="A1" s="40" t="str">
        <x:v>AI-02｜小院归家正式分镜拆解 V1.0-DRAFT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26" customHeight="1">
      <x:c r="A2" s="41" t="str">
        <x:v>导演＋分镜师＋摄影指导＋剪辑指导＋AI视频生成导演｜25fps｜不写OS正文，只校验画面承载长度</x:v>
      </x:c>
      <x:c r="B2" s="41"/>
      <x:c r="C2" s="41"/>
      <x:c r="D2" s="41"/>
      <x:c r="E2" s="41"/>
      <x:c r="F2" s="41"/>
      <x:c r="G2" s="41"/>
      <x:c r="H2" s="41"/>
      <x:c r="I2" s="41"/>
      <x:c r="J2" s="41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</x:row>
    <x:row r="4">
      <x:c r="A4" s="43" t="str">
        <x:v>镜头数</x:v>
      </x:c>
      <x:c r="B4" s="44" t="n">
        <x:f>COUNTA('十字段分镜'!A2:A15)</x:f>
        <x:v>14</x:v>
      </x:c>
      <x:c r="C4" s="43" t="str">
        <x:v>画面总长(s)</x:v>
      </x:c>
      <x:c r="D4" s="45" t="n">
        <x:f>'时长校验'!B17</x:f>
        <x:v>42.99999999999999</x:v>
      </x:c>
      <x:c r="E4" s="43" t="str">
        <x:v>总帧数</x:v>
      </x:c>
      <x:c r="F4" s="46" t="n">
        <x:f>'时长校验'!C17</x:f>
        <x:v>1075</x:v>
      </x:c>
      <x:c r="G4" s="43" t="str">
        <x:v>真人配音(s)</x:v>
      </x:c>
      <x:c r="H4" s="45" t="n">
        <x:v>26.671</x:v>
      </x:c>
      <x:c r="I4" s="43" t="str">
        <x:v>动作余韵(s)</x:v>
      </x:c>
      <x:c r="J4" s="45" t="n">
        <x:f>D4-H4</x:f>
        <x:v>16.328999999999994</x:v>
      </x:c>
    </x:row>
    <x:row r="5">
      <x:c r="A5" s="42"/>
      <x:c r="B5" s="42"/>
      <x:c r="C5" s="42"/>
      <x:c r="D5" s="42"/>
      <x:c r="E5" s="42"/>
      <x:c r="F5" s="42"/>
      <x:c r="G5" s="42"/>
      <x:c r="H5" s="42"/>
      <x:c r="I5" s="42"/>
      <x:c r="J5" s="42"/>
    </x:row>
    <x:row r="6" ht="38" customHeight="1">
      <x:c r="A6" s="47" t="str">
        <x:v>导演判断：43秒母版保留湖面呼吸、熟悉声响、隔湖确认、靠岸回家与院门亲昵五段节奏；下船、递包、擦汗分别独立拆镜。</x:v>
      </x:c>
      <x:c r="B6" s="47"/>
      <x:c r="C6" s="47"/>
      <x:c r="D6" s="47"/>
      <x:c r="E6" s="47"/>
      <x:c r="F6" s="47"/>
      <x:c r="G6" s="47"/>
      <x:c r="H6" s="47"/>
      <x:c r="I6" s="47"/>
      <x:c r="J6" s="47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</x:row>
    <x:row r="8">
      <x:c r="A8" s="48" t="str">
        <x:v>五段叙事节奏</x:v>
      </x:c>
      <x:c r="B8" s="48"/>
      <x:c r="C8" s="48"/>
      <x:c r="D8" s="48"/>
      <x:c r="E8" s="42"/>
      <x:c r="F8" s="48" t="str">
        <x:v>生成归组与高风险隔离</x:v>
      </x:c>
      <x:c r="G8" s="48"/>
      <x:c r="H8" s="48"/>
      <x:c r="I8" s="48"/>
      <x:c r="J8" s="48"/>
    </x:row>
    <x:row r="9" ht="44" customHeight="1">
      <x:c r="A9" s="49" t="str">
        <x:v>段落</x:v>
      </x:c>
      <x:c r="B9" s="49" t="str">
        <x:v>时间范围</x:v>
      </x:c>
      <x:c r="C9" s="49" t="str">
        <x:v>时长(s)</x:v>
      </x:c>
      <x:c r="D9" s="49" t="str">
        <x:v>导演目的</x:v>
      </x:c>
      <x:c r="E9" s="42"/>
      <x:c r="F9" s="49" t="str">
        <x:v>生成组</x:v>
      </x:c>
      <x:c r="G9" s="49" t="str">
        <x:v>覆盖镜头</x:v>
      </x:c>
      <x:c r="H9" s="49" t="str">
        <x:v>建议策略</x:v>
      </x:c>
      <x:c r="I9" s="49" t="str">
        <x:v>主要风险</x:v>
      </x:c>
      <x:c r="J9" s="49" t="str">
        <x:v>状态</x:v>
      </x:c>
    </x:row>
    <x:row r="10" ht="44" customHeight="1">
      <x:c r="A10" s="50" t="str">
        <x:v>湖面与生活建立</x:v>
      </x:c>
      <x:c r="B10" s="50" t="str">
        <x:v>00:00.000—00:10.000</x:v>
      </x:c>
      <x:c r="C10" s="50" t="n">
        <x:v>10</x:v>
      </x:c>
      <x:c r="D10" s="50" t="str">
        <x:v>先进入清晨龙水湖，再建立女主日常与远湖归舟</x:v>
      </x:c>
      <x:c r="E10" s="42"/>
      <x:c r="F10" s="51" t="str">
        <x:v>G01</x:v>
      </x:c>
      <x:c r="G10" s="51" t="str">
        <x:v>SH01—SH03</x:v>
      </x:c>
      <x:c r="H10" s="51" t="str">
        <x:v>环境与人物建立组三镜</x:v>
      </x:c>
      <x:c r="I10" s="51" t="str">
        <x:v>地点跳切保持同一清晨光雾</x:v>
      </x:c>
      <x:c r="J10" s="51" t="str">
        <x:v>待写Prompt</x:v>
      </x:c>
    </x:row>
    <x:row r="11" ht="44" customHeight="1">
      <x:c r="A11" s="50" t="str">
        <x:v>熟悉声响触发行动</x:v>
      </x:c>
      <x:c r="B11" s="50" t="str">
        <x:v>00:10.000—00:18.520</x:v>
      </x:c>
      <x:c r="C11" s="50" t="n">
        <x:v>8.52</x:v>
      </x:c>
      <x:c r="D11" s="50" t="str">
        <x:v>桨声先进入院内；女主停手、辨认、起身、去院门</x:v>
      </x:c>
      <x:c r="E11" s="42"/>
      <x:c r="F11" s="51" t="str">
        <x:v>G02</x:v>
      </x:c>
      <x:c r="G11" s="51" t="str">
        <x:v>SH04—SH06</x:v>
      </x:c>
      <x:c r="H11" s="51" t="str">
        <x:v>院内连续动作组</x:v>
      </x:c>
      <x:c r="I11" s="51" t="str">
        <x:v>手部药草、起身、长裙移动</x:v>
      </x:c>
      <x:c r="J11" s="51" t="str">
        <x:v>待写Prompt</x:v>
      </x:c>
    </x:row>
    <x:row r="12" ht="44" customHeight="1">
      <x:c r="A12" s="50" t="str">
        <x:v>隔湖确认</x:v>
      </x:c>
      <x:c r="B12" s="50" t="str">
        <x:v>00:18.520—00:24.000</x:v>
      </x:c>
      <x:c r="C12" s="50" t="n">
        <x:v>5.48</x:v>
      </x:c>
      <x:c r="D12" s="50" t="str">
        <x:v>女主先挥手，船头男主回应；小舟仍在湖中</x:v>
      </x:c>
      <x:c r="E12" s="42"/>
      <x:c r="F12" s="51" t="str">
        <x:v>G03</x:v>
      </x:c>
      <x:c r="G12" s="51" t="str">
        <x:v>SH07—SH08</x:v>
      </x:c>
      <x:c r="H12" s="51" t="str">
        <x:v>隔湖挥手正反打组</x:v>
      </x:c>
      <x:c r="I12" s="51" t="str">
        <x:v>远湖距离、视线匹配、持包不换手</x:v>
      </x:c>
      <x:c r="J12" s="51" t="str">
        <x:v>待写Prompt</x:v>
      </x:c>
    </x:row>
    <x:row r="13" ht="44" customHeight="1">
      <x:c r="A13" s="50" t="str">
        <x:v>靠岸回家</x:v>
      </x:c>
      <x:c r="B13" s="50" t="str">
        <x:v>00:24.000—00:32.520</x:v>
      </x:c>
      <x:c r="C13" s="50" t="n">
        <x:v>8.52</x:v>
      </x:c>
      <x:c r="D13" s="50" t="str">
        <x:v>小舟沿纵深轴接近、停稳，男主独立完成下船</x:v>
      </x:c>
      <x:c r="E13" s="42"/>
      <x:c r="F13" s="51" t="str">
        <x:v>G04</x:v>
      </x:c>
      <x:c r="G13" s="51" t="str">
        <x:v>SH09—SH10</x:v>
      </x:c>
      <x:c r="H13" s="51" t="str">
        <x:v>小舟接近与停稳组</x:v>
      </x:c>
      <x:c r="I13" s="51" t="str">
        <x:v>航向、靠岸侧、船岸不穿透</x:v>
      </x:c>
      <x:c r="J13" s="51" t="str">
        <x:v>待写Prompt</x:v>
      </x:c>
    </x:row>
    <x:row r="14" ht="44" customHeight="1">
      <x:c r="A14" s="50" t="str">
        <x:v>院门亲昵</x:v>
      </x:c>
      <x:c r="B14" s="50" t="str">
        <x:v>00:32.520—00:43.000</x:v>
      </x:c>
      <x:c r="C14" s="50" t="n">
        <x:v>10.48</x:v>
      </x:c>
      <x:c r="D14" s="50" t="str">
        <x:v>相会、递包、接包、擦汗，以熟稔日常动作收尾</x:v>
      </x:c>
      <x:c r="E14" s="42"/>
      <x:c r="F14" s="52" t="str">
        <x:v>G05</x:v>
      </x:c>
      <x:c r="G14" s="52" t="str">
        <x:v>SH11</x:v>
      </x:c>
      <x:c r="H14" s="52" t="str">
        <x:v>下船专项组；生成更长素材后剪取</x:v>
      </x:c>
      <x:c r="I14" s="52" t="str">
        <x:v>重心、脚步、船体稳定</x:v>
      </x:c>
      <x:c r="J14" s="52" t="str">
        <x:v>高风险</x:v>
      </x:c>
    </x:row>
    <x:row r="15" ht="44" customHeight="1">
      <x:c r="A15" s="42"/>
      <x:c r="B15" s="42"/>
      <x:c r="C15" s="42"/>
      <x:c r="D15" s="42"/>
      <x:c r="E15" s="42"/>
      <x:c r="F15" s="51" t="str">
        <x:v>G06</x:v>
      </x:c>
      <x:c r="G15" s="51" t="str">
        <x:v>SH12</x:v>
      </x:c>
      <x:c r="H15" s="51" t="str">
        <x:v>回院与相会站位组</x:v>
      </x:c>
      <x:c r="I15" s="51" t="str">
        <x:v>身高差、石路与院门轴线</x:v>
      </x:c>
      <x:c r="J15" s="51" t="str">
        <x:v>待写Prompt</x:v>
      </x:c>
    </x:row>
    <x:row r="16" ht="44" customHeight="1">
      <x:c r="A16" s="42"/>
      <x:c r="B16" s="42"/>
      <x:c r="C16" s="42"/>
      <x:c r="D16" s="42"/>
      <x:c r="E16" s="42"/>
      <x:c r="F16" s="52" t="str">
        <x:v>G07</x:v>
      </x:c>
      <x:c r="G16" s="52" t="str">
        <x:v>SH13</x:v>
      </x:c>
      <x:c r="H16" s="52" t="str">
        <x:v>蓝包递接专项组</x:v>
      </x:c>
      <x:c r="I16" s="52" t="str">
        <x:v>双手结构、包袱形变、换手</x:v>
      </x:c>
      <x:c r="J16" s="52" t="str">
        <x:v>高风险</x:v>
      </x:c>
    </x:row>
    <x:row r="17" ht="44" customHeight="1">
      <x:c r="A17" s="42"/>
      <x:c r="B17" s="42"/>
      <x:c r="C17" s="42"/>
      <x:c r="D17" s="42"/>
      <x:c r="E17" s="42"/>
      <x:c r="F17" s="52" t="str">
        <x:v>G08</x:v>
      </x:c>
      <x:c r="G17" s="52" t="str">
        <x:v>SH14</x:v>
      </x:c>
      <x:c r="H17" s="52" t="str">
        <x:v>衣袖擦汗专项组</x:v>
      </x:c>
      <x:c r="I17" s="52" t="str">
        <x:v>袖脸穿透、包袱持位、同脸</x:v>
      </x:c>
      <x:c r="J17" s="52" t="str">
        <x:v>高风险</x:v>
      </x:c>
    </x:row>
  </x:sheetData>
  <x:mergeCells>
    <x:mergeCell ref="A1:J1"/>
    <x:mergeCell ref="A2:J2"/>
    <x:mergeCell ref="A6:J6"/>
    <x:mergeCell ref="A8:D8"/>
    <x:mergeCell ref="F8:J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24" hidden="0" customWidth="1"/>
    <x:col min="4" max="4" width="23" hidden="0" customWidth="1"/>
    <x:col min="5" max="5" width="48" hidden="0" customWidth="1"/>
    <x:col min="6" max="6" width="38" hidden="0" customWidth="1"/>
    <x:col min="7" max="7" width="42" hidden="0" customWidth="1"/>
    <x:col min="8" max="8" width="62" hidden="0" customWidth="1"/>
    <x:col min="9" max="9" width="34" hidden="0" customWidth="1"/>
    <x:col min="10" max="10" width="48" hidden="0" customWidth="1"/>
  </x:cols>
  <x:sheetData>
    <x:row r="1" ht="34" customHeight="1">
      <x:c r="A1" s="57" t="str">
        <x:v>镜号</x:v>
      </x:c>
      <x:c r="B1" s="57" t="str">
        <x:v>时间码与时长</x:v>
      </x:c>
      <x:c r="C1" s="57" t="str">
        <x:v>景别与机位</x:v>
      </x:c>
      <x:c r="D1" s="57" t="str">
        <x:v>摄影机运动</x:v>
      </x:c>
      <x:c r="E1" s="57" t="str">
        <x:v>画面与动作</x:v>
      </x:c>
      <x:c r="F1" s="57" t="str">
        <x:v>表演与节奏</x:v>
      </x:c>
      <x:c r="G1" s="57" t="str">
        <x:v>构图与光影</x:v>
      </x:c>
      <x:c r="H1" s="57" t="str">
        <x:v>资产与视图调用</x:v>
      </x:c>
      <x:c r="I1" s="57" t="str">
        <x:v>环境与动作声</x:v>
      </x:c>
      <x:c r="J1" s="57" t="str">
        <x:v>连续性与生成归组</x:v>
      </x:c>
    </x:row>
    <x:row r="2" ht="92" customHeight="1">
      <x:c r="A2" s="61" t="str">
        <x:v>AI02-SH01</x:v>
      </x:c>
      <x:c r="B2" s="61" t="str">
        <x:v>00:00.000—00:03.520｜3.52s</x:v>
      </x:c>
      <x:c r="C2" s="61" t="str">
        <x:v>大远景｜略高机位观察龙水湖</x:v>
      </x:c>
      <x:c r="D2" s="61" t="str">
        <x:v>极慢前推，近似静镜</x:v>
      </x:c>
      <x:c r="E2" s="61" t="str">
        <x:v>薄雾覆盖层山与岛群，细碎金光落在湖面；局部白鹭从树冠掠向水面</x:v>
      </x:c>
      <x:c r="F2" s="61" t="str">
        <x:v>无人物表演；让观众先进入清晨环境</x:v>
      </x:c>
      <x:c r="G2" s="61" t="str">
        <x:v>山岛湖近中远三层；暖光只落局部</x:v>
      </x:c>
      <x:c r="H2" s="61" t="str">
        <x:v>REF-051|REF-052|QNXY-SCN-P0-005|QNXY-ANM-P1-001|QNXY-LGT-P0-006</x:v>
      </x:c>
      <x:c r="I2" s="61" t="str">
        <x:v>湖风|远水|零散白鹭声</x:v>
      </x:c>
      <x:c r="J2" s="61" t="str">
        <x:v>白鹭不固定数量、不整齐列队｜G01</x:v>
      </x:c>
    </x:row>
    <x:row r="3" ht="92" customHeight="1">
      <x:c r="A3" s="62" t="str">
        <x:v>AI02-SH02</x:v>
      </x:c>
      <x:c r="B3" s="62" t="str">
        <x:v>00:03.520—00:07.000｜3.48s</x:v>
      </x:c>
      <x:c r="C3" s="62" t="str">
        <x:v>中全景｜院内药草桌侧前方</x:v>
      </x:c>
      <x:c r="D3" s="62" t="str">
        <x:v>轻微横移后停住</x:v>
      </x:c>
      <x:c r="E3" s="62" t="str">
        <x:v>林如蔚坐在药草桌旁，将晒干药草分束、理齐并放入竹匾</x:v>
      </x:c>
      <x:c r="F3" s="62" t="str">
        <x:v>动作熟练安静；不看湖，不预先等待</x:v>
      </x:c>
      <x:c r="G3" s="62" t="str">
        <x:v>药桌居中偏左；院门和湖面出口保留画面右侧</x:v>
      </x:c>
      <x:c r="H3" s="62" t="str">
        <x:v>REF-047|REF-059|REF-062|QNXY-CHR-P0-002|QNXY-CST-P0-002|QNXY-PRP-P1-004|V-EXIT-COURTYARD</x:v>
      </x:c>
      <x:c r="I3" s="62" t="str">
        <x:v>药草与竹匾摩擦|院内微风</x:v>
      </x:c>
      <x:c r="J3" s="62" t="str">
        <x:v>冷珠颈戴可由交领长辫自然遮挡但不得删除｜G01</x:v>
      </x:c>
    </x:row>
    <x:row r="4" ht="92" customHeight="1">
      <x:c r="A4" s="61" t="str">
        <x:v>AI02-SH03</x:v>
      </x:c>
      <x:c r="B4" s="61" t="str">
        <x:v>00:07.000—00:10.000｜3.00s</x:v>
      </x:c>
      <x:c r="C4" s="61" t="str">
        <x:v>远景｜岸边长焦看向湖心</x:v>
      </x:c>
      <x:c r="D4" s="61" t="str">
        <x:v>静镜，小舟自行进入景深</x:v>
      </x:c>
      <x:c r="E4" s="61" t="str">
        <x:v>小舟仍在远湖；苏珏站船头持蓝色包袱，年长船工在船尾操桨</x:v>
      </x:c>
      <x:c r="F4" s="61" t="str">
        <x:v>苏珏随船轻微调整重心，视线朝岸；不挥手</x:v>
      </x:c>
      <x:c r="G4" s="61" t="str">
        <x:v>长焦压缩雾中岛影；船体保持小比例</x:v>
      </x:c>
      <x:c r="H4" s="61" t="str">
        <x:v>REF-048|REF-058|REF-063|QNXY-CHR-P0-001|QNXY-CST-P0-001|QNXY-VEH-P0-001|QNXY-CRO-P1-003|QNXY-PRP-P2-008</x:v>
      </x:c>
      <x:c r="I4" s="61" t="str">
        <x:v>远桨划水|低弱船板木响</x:v>
      </x:c>
      <x:c r="J4" s="61" t="str">
        <x:v>苏珏不得坐船舱；包袱不出现卷轴｜G01</x:v>
      </x:c>
    </x:row>
    <x:row r="5" ht="92" customHeight="1">
      <x:c r="A5" s="62" t="str">
        <x:v>AI02-SH04</x:v>
      </x:c>
      <x:c r="B5" s="62" t="str">
        <x:v>00:10.000—00:12.520｜2.52s</x:v>
      </x:c>
      <x:c r="C5" s="62" t="str">
        <x:v>近景｜药草桌手部高度</x:v>
      </x:c>
      <x:c r="D5" s="62" t="str">
        <x:v>固定机位</x:v>
      </x:c>
      <x:c r="E5" s="62" t="str">
        <x:v>林如蔚双手整理药草；远处桨声进入后手指动作停住</x:v>
      </x:c>
      <x:c r="F5" s="62" t="str">
        <x:v>先听见、后反应；不立刻猛抬头</x:v>
      </x:c>
      <x:c r="G5" s="62" t="str">
        <x:v>药草束、竹匾与袖口占主要画面；细碎斑驳暖光</x:v>
      </x:c>
      <x:c r="H5" s="62" t="str">
        <x:v>REF-047|REF-062|QNXY-PRP-P1-004|QNXY-LGT-P0-006</x:v>
      </x:c>
      <x:c r="I5" s="62" t="str">
        <x:v>药草声渐停|远桨声变清楚</x:v>
      </x:c>
      <x:c r="J5" s="62" t="str">
        <x:v>手部与药草位置承接SH02｜G02</x:v>
      </x:c>
    </x:row>
    <x:row r="6" ht="92" customHeight="1">
      <x:c r="A6" s="61" t="str">
        <x:v>AI02-SH05</x:v>
      </x:c>
      <x:c r="B6" s="61" t="str">
        <x:v>00:12.520—00:15.520｜3.00s</x:v>
      </x:c>
      <x:c r="C6" s="61" t="str">
        <x:v>中近景｜女主三分之四侧面</x:v>
      </x:c>
      <x:c r="D6" s="61" t="str">
        <x:v>极轻微推近</x:v>
      </x:c>
      <x:c r="E6" s="61" t="str">
        <x:v>她侧耳辨认，抬眼望向湖面出口，眼神先亮，随后起身</x:v>
      </x:c>
      <x:c r="F6" s="61" t="str">
        <x:v>反应是听出熟悉的人；笑意克制自然</x:v>
      </x:c>
      <x:c r="G6" s="61" t="str">
        <x:v>主屋与大树虚化；目光固定指向右侧院门</x:v>
      </x:c>
      <x:c r="H6" s="61" t="str">
        <x:v>REF-047|REF-062|QNXY-CHR-P0-002|QNXY-CST-P0-002</x:v>
      </x:c>
      <x:c r="I6" s="61" t="str">
        <x:v>远桨与水声|木凳轻响|衣料声</x:v>
      </x:c>
      <x:c r="J6" s="61" t="str">
        <x:v>起身只完成一次；冷珠颈戴或自然遮挡｜G02</x:v>
      </x:c>
    </x:row>
    <x:row r="7" ht="92" customHeight="1">
      <x:c r="A7" s="62" t="str">
        <x:v>AI02-SH06</x:v>
      </x:c>
      <x:c r="B7" s="62" t="str">
        <x:v>00:15.520—00:18.520｜3.00s</x:v>
      </x:c>
      <x:c r="C7" s="62" t="str">
        <x:v>全景｜院内侧后方看向栅栏门</x:v>
      </x:c>
      <x:c r="D7" s="62" t="str">
        <x:v>小幅跟移</x:v>
      </x:c>
      <x:c r="E7" s="62" t="str">
        <x:v>林如蔚从药桌离开，向右侧院门快步小跑两三步</x:v>
      </x:c>
      <x:c r="F7" s="62" t="str">
        <x:v>轻快但不夸张奔跑；长裙有真实重量</x:v>
      </x:c>
      <x:c r="G7" s="62" t="str">
        <x:v>固定药桌—大树—主屋—院门—湖面出口关系；人物由左向右</x:v>
      </x:c>
      <x:c r="H7" s="62" t="str">
        <x:v>REF-047|REF-059|REF-061|V-EXIT-COURTYARD|V-SHORE-TO-LAKE</x:v>
      </x:c>
      <x:c r="I7" s="62" t="str">
        <x:v>土地脚步|裙摆与腰饰轻响|远桨</x:v>
      </x:c>
      <x:c r="J7" s="62" t="str">
        <x:v>桌树门方向不变；人物不穿栅栏｜G02</x:v>
      </x:c>
    </x:row>
    <x:row r="8" ht="92" customHeight="1">
      <x:c r="A8" s="61" t="str">
        <x:v>AI02-SH07</x:v>
      </x:c>
      <x:c r="B8" s="61" t="str">
        <x:v>00:18.520—00:21.520｜3.00s</x:v>
      </x:c>
      <x:c r="C8" s="61" t="str">
        <x:v>过肩中远景｜女主背侧看湖</x:v>
      </x:c>
      <x:c r="D8" s="61" t="str">
        <x:v>静镜</x:v>
      </x:c>
      <x:c r="E8" s="61" t="str">
        <x:v>林如蔚到达栅栏门，看见仍在湖中的小舟后抬手挥动</x:v>
      </x:c>
      <x:c r="F8" s="61" t="str">
        <x:v>先确认再挥手；笑意明亮不过度</x:v>
      </x:c>
      <x:c r="G8" s="61" t="str">
        <x:v>女主近景一侧，远湖小舟为视觉终点；门框自然框景</x:v>
      </x:c>
      <x:c r="H8" s="61" t="str">
        <x:v>REF-047|REF-060|REF-056|QNXY-CHR-P0-002|QNXY-CST-P0-002|V-SHORE-TO-LAKE</x:v>
      </x:c>
      <x:c r="I8" s="61" t="str">
        <x:v>开阔湖风|远桨水声|袖料轻响</x:v>
      </x:c>
      <x:c r="J8" s="61" t="str">
        <x:v>小舟不得已靠岸；目光连接船头｜G03</x:v>
      </x:c>
    </x:row>
    <x:row r="9" ht="92" customHeight="1">
      <x:c r="A9" s="62" t="str">
        <x:v>AI02-SH08</x:v>
      </x:c>
      <x:c r="B9" s="62" t="str">
        <x:v>00:21.520—00:24.000｜2.48s</x:v>
      </x:c>
      <x:c r="C9" s="62" t="str">
        <x:v>长焦中景｜岸边看船头</x:v>
      </x:c>
      <x:c r="D9" s="62" t="str">
        <x:v>轻微随船漂移</x:v>
      </x:c>
      <x:c r="E9" s="62" t="str">
        <x:v>苏珏站船头看见她，一手持包，空手抬起回应；船工继续操桨</x:v>
      </x:c>
      <x:c r="F9" s="62" t="str">
        <x:v>笑意从眼神到唇边；小幅挥手并保持平衡</x:v>
      </x:c>
      <x:c r="G9" s="62" t="str">
        <x:v>苏珏为主，船工后景不抢戏；雾湖背景简洁</x:v>
      </x:c>
      <x:c r="H9" s="62" t="str">
        <x:v>REF-048|REF-058|REF-063|QNXY-CHR-P0-001|QNXY-CST-P0-001|QNXY-VEH-P0-001|QNXY-CRO-P1-003|QNXY-PRP-P2-008</x:v>
      </x:c>
      <x:c r="I9" s="62" t="str">
        <x:v>桨水声|船板声|衣袖声</x:v>
      </x:c>
      <x:c r="J9" s="62" t="str">
        <x:v>暂定右手持包左手挥手；暖珠左腕袖遮；不得换手｜G03</x:v>
      </x:c>
    </x:row>
    <x:row r="10" ht="92" customHeight="1">
      <x:c r="A10" s="61" t="str">
        <x:v>AI02-SH09</x:v>
      </x:c>
      <x:c r="B10" s="61" t="str">
        <x:v>00:24.000—00:27.000｜3.00s</x:v>
      </x:c>
      <x:c r="C10" s="61" t="str">
        <x:v>岸边大远景｜湖心至停靠点主轴</x:v>
      </x:c>
      <x:c r="D10" s="61" t="str">
        <x:v>缓慢后退或静镜</x:v>
      </x:c>
      <x:c r="E10" s="61" t="str">
        <x:v>小舟由画面深处向固定停靠点接近；林如蔚在院门或石路上方等待</x:v>
      </x:c>
      <x:c r="F10" s="61" t="str">
        <x:v>双方停止持续挥手，保持目光联系</x:v>
      </x:c>
      <x:c r="G10" s="61" t="str">
        <x:v>船沿纵深轴移动；不横向穿越不同岸线</x:v>
      </x:c>
      <x:c r="H10" s="61" t="str">
        <x:v>REF-056|REF-058|REF-060|QNXY-SCN-P0-005|QNXY-VEH-P0-001|QNXY-LGT-P0-006</x:v>
      </x:c>
      <x:c r="I10" s="61" t="str">
        <x:v>桨声变近|船头破水|小浪声</x:v>
      </x:c>
      <x:c r="J10" s="61" t="str">
        <x:v>停靠点固定REF-056；不得跨轴或瞬移｜G04</x:v>
      </x:c>
    </x:row>
    <x:row r="11" ht="92" customHeight="1">
      <x:c r="A11" s="62" t="str">
        <x:v>AI02-SH10</x:v>
      </x:c>
      <x:c r="B11" s="62" t="str">
        <x:v>00:27.000—00:29.520｜2.52s</x:v>
      </x:c>
      <x:c r="C11" s="62" t="str">
        <x:v>岸边中景｜低于人物胸线</x:v>
      </x:c>
      <x:c r="D11" s="62" t="str">
        <x:v>固定机位</x:v>
      </x:c>
      <x:c r="E11" s="62" t="str">
        <x:v>船工减桨并用长桨轻撑稳船；小舟靠近青石边后轻晃一次并停稳</x:v>
      </x:c>
      <x:c r="F11" s="62" t="str">
        <x:v>苏珏等待船体稳定，不抢先下船</x:v>
      </x:c>
      <x:c r="G11" s="62" t="str">
        <x:v>船帮、青石、水线构成横向稳定结构</x:v>
      </x:c>
      <x:c r="H11" s="62" t="str">
        <x:v>REF-056|REF-058|QNXY-VEH-P0-001|QNXY-CRO-P1-003</x:v>
      </x:c>
      <x:c r="I11" s="62" t="str">
        <x:v>木桨收水|船板轻响|水拍青石</x:v>
      </x:c>
      <x:c r="J11" s="62" t="str">
        <x:v>船只只晃一次，不弹跳、不穿岸｜G04</x:v>
      </x:c>
    </x:row>
    <x:row r="12" ht="92" customHeight="1">
      <x:c r="A12" s="63" t="str">
        <x:v>AI02-SH11</x:v>
      </x:c>
      <x:c r="B12" s="63" t="str">
        <x:v>00:29.520—00:32.520｜3.00s</x:v>
      </x:c>
      <x:c r="C12" s="63" t="str">
        <x:v>侧面中全景｜青石岸与船头同框</x:v>
      </x:c>
      <x:c r="D12" s="63" t="str">
        <x:v>轻微跟随人物重心</x:v>
      </x:c>
      <x:c r="E12" s="63" t="str">
        <x:v>船工稳船；苏珏右手持包、左手保持平衡，左脚先踏青石，右脚跟上完成下船</x:v>
      </x:c>
      <x:c r="F12" s="63" t="str">
        <x:v>稳妥下船，不英雄式跃岸；落脚后先站稳</x:v>
      </x:c>
      <x:c r="G12" s="63" t="str">
        <x:v>岸石、船头、人物全身关系清楚；保留185厘米比例</x:v>
      </x:c>
      <x:c r="H12" s="63" t="str">
        <x:v>REF-048|REF-056|REF-058|REF-063|QNXY-CHR-P0-001|QNXY-CST-P0-001|QNXY-VEH-P0-001|QNXY-PRP-P2-008</x:v>
      </x:c>
      <x:c r="I12" s="63" t="str">
        <x:v>船板受力|鞋底踏石|包袱布料|轻呼吸</x:v>
      </x:c>
      <x:c r="J12" s="63" t="str">
        <x:v>高风险单动作；不同时挥手递包；暖珠左腕袖遮｜G05</x:v>
      </x:c>
    </x:row>
    <x:row r="13" ht="92" customHeight="1">
      <x:c r="A13" s="62" t="str">
        <x:v>AI02-SH12</x:v>
      </x:c>
      <x:c r="B13" s="62" t="str">
        <x:v>00:32.520—00:35.520｜3.00s</x:v>
      </x:c>
      <x:c r="C13" s="62" t="str">
        <x:v>中远景｜院门朝湖岸石路</x:v>
      </x:c>
      <x:c r="D13" s="62" t="str">
        <x:v>缓慢后移引导男主上行</x:v>
      </x:c>
      <x:c r="E13" s="62" t="str">
        <x:v>苏珏沿石路走向院门，林如蔚在门口等他；靠近后停在彼此面前</x:v>
      </x:c>
      <x:c r="F13" s="62" t="str">
        <x:v>她向前半步，他放松肩背；不拥抱、不行礼</x:v>
      </x:c>
      <x:c r="G13" s="62" t="str">
        <x:v>15厘米身高差真实；门、石路、湖面轴线明确</x:v>
      </x:c>
      <x:c r="H13" s="62" t="str">
        <x:v>REF-047|REF-048|REF-060|REF-061|REF-063|QNXY-CHR-P0-001|QNXY-CHR-P0-002|QNXY-CST-P0-001|QNXY-CST-P0-002|QNXY-PRP-P2-008</x:v>
      </x:c>
      <x:c r="I13" s="62" t="str">
        <x:v>石路脚步|衣摆|近处呼吸|远水</x:v>
      </x:c>
      <x:c r="J13" s="62" t="str">
        <x:v>男主仍右手持包；女主未提前拿包｜G06</x:v>
      </x:c>
    </x:row>
    <x:row r="14" ht="92" customHeight="1">
      <x:c r="A14" s="63" t="str">
        <x:v>AI02-SH13</x:v>
      </x:c>
      <x:c r="B14" s="63" t="str">
        <x:v>00:35.520—00:39.000｜3.48s</x:v>
      </x:c>
      <x:c r="C14" s="63" t="str">
        <x:v>双人中景｜院门内侧略侧拍</x:v>
      </x:c>
      <x:c r="D14" s="63" t="str">
        <x:v>固定机位，结尾微推</x:v>
      </x:c>
      <x:c r="E14" s="63" t="str">
        <x:v>苏珏右手递出蓝色包袱；林如蔚双手接稳，随后安置到左前臂与身体之间</x:v>
      </x:c>
      <x:c r="F14" s="63" t="str">
        <x:v>动作缓稳、有生活默契；短暂对视</x:v>
      </x:c>
      <x:c r="G14" s="63" t="str">
        <x:v>包袱位于两人之间；手部无遮挡</x:v>
      </x:c>
      <x:c r="H14" s="63" t="str">
        <x:v>REF-047|REF-048|REF-060|REF-061|REF-063|QNXY-PRP-P2-008|QNXY-REL-P1-008</x:v>
      </x:c>
      <x:c r="I14" s="63" t="str">
        <x:v>粗布摩擦|手掌接触布面轻声</x:v>
      </x:c>
      <x:c r="J14" s="63" t="str">
        <x:v>高风险单动作；包袱不变形消失换色；镜尾女主左臂持包｜G07</x:v>
      </x:c>
    </x:row>
    <x:row r="15" ht="92" customHeight="1">
      <x:c r="A15" s="63" t="str">
        <x:v>AI02-SH14</x:v>
      </x:c>
      <x:c r="B15" s="63" t="str">
        <x:v>00:39.000—00:43.000｜4.00s</x:v>
      </x:c>
      <x:c r="C15" s="63" t="str">
        <x:v>双人中近景｜肩胸以上</x:v>
      </x:c>
      <x:c r="D15" s="63" t="str">
        <x:v>极慢推近，最后停住</x:v>
      </x:c>
      <x:c r="E15" s="63" t="str">
        <x:v>包袱已稳在林如蔚左臂；她用右侧衣袖轻擦苏珏额角；苏珏微低头配合，二人相视一笑并停半拍</x:v>
      </x:c>
      <x:c r="F15" s="63" t="str">
        <x:v>亲昵来自习惯，不煽情；擦汗只完成一次</x:v>
      </x:c>
      <x:c r="G15" s="63" t="str">
        <x:v>暖调斑驳光落脸侧与袖缘；背景院门湖面柔化；真实肤质</x:v>
      </x:c>
      <x:c r="H15" s="63" t="str">
        <x:v>REF-047|REF-048|REF-060|REF-061|REF-063|QNXY-CHR-P0-001|QNXY-CHR-P0-002|QNXY-CST-P0-001|QNXY-CST-P0-002|QNXY-PRP-P2-008|QNXY-REL-P1-008|QNXY-LGT-P0-006</x:v>
      </x:c>
      <x:c r="I15" s="63" t="str">
        <x:v>袖料轻擦|近处呼吸|远水与船板余响</x:v>
      </x:c>
      <x:c r="J15" s="63" t="str">
        <x:v>高风险单动作；右袖不穿脸；包袱留女主左臂；冷珠不得消失｜G08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5" t="str">
        <x:v>镜号</x:v>
      </x:c>
      <x:c r="B1" s="65" t="str">
        <x:v>时长(s)</x:v>
      </x:c>
      <x:c r="C1" s="65" t="str">
        <x:v>帧数</x:v>
      </x:c>
      <x:c r="D1" s="65" t="str">
        <x:v>起始帧</x:v>
      </x:c>
      <x:c r="E1" s="65" t="str">
        <x:v>结束帧</x:v>
      </x:c>
    </x:row>
    <x:row r="2">
      <x:c r="A2" s="69" t="str">
        <x:v>AI02-SH01</x:v>
      </x:c>
      <x:c r="B2" s="74" t="n">
        <x:v>3.52</x:v>
      </x:c>
      <x:c r="C2" s="77" t="n">
        <x:f>ROUND(B2*$B$18,0)</x:f>
        <x:v>88</x:v>
      </x:c>
      <x:c r="D2" s="77" t="n">
        <x:f>0</x:f>
        <x:v>0</x:v>
      </x:c>
      <x:c r="E2" s="77" t="n">
        <x:f>D2+C2</x:f>
        <x:v>88</x:v>
      </x:c>
    </x:row>
    <x:row r="3">
      <x:c r="A3" s="69" t="str">
        <x:v>AI02-SH02</x:v>
      </x:c>
      <x:c r="B3" s="74" t="n">
        <x:v>3.48</x:v>
      </x:c>
      <x:c r="C3" s="77" t="n">
        <x:f>ROUND(B3*$B$18,0)</x:f>
        <x:v>87</x:v>
      </x:c>
      <x:c r="D3" s="77" t="n">
        <x:f>E2</x:f>
        <x:v>88</x:v>
      </x:c>
      <x:c r="E3" s="77" t="n">
        <x:f>D3+C3</x:f>
        <x:v>175</x:v>
      </x:c>
    </x:row>
    <x:row r="4">
      <x:c r="A4" s="69" t="str">
        <x:v>AI02-SH03</x:v>
      </x:c>
      <x:c r="B4" s="74" t="n">
        <x:v>3</x:v>
      </x:c>
      <x:c r="C4" s="77" t="n">
        <x:f>ROUND(B4*$B$18,0)</x:f>
        <x:v>75</x:v>
      </x:c>
      <x:c r="D4" s="77" t="n">
        <x:f>E3</x:f>
        <x:v>175</x:v>
      </x:c>
      <x:c r="E4" s="77" t="n">
        <x:f>D4+C4</x:f>
        <x:v>250</x:v>
      </x:c>
    </x:row>
    <x:row r="5">
      <x:c r="A5" s="69" t="str">
        <x:v>AI02-SH04</x:v>
      </x:c>
      <x:c r="B5" s="74" t="n">
        <x:v>2.52</x:v>
      </x:c>
      <x:c r="C5" s="77" t="n">
        <x:f>ROUND(B5*$B$18,0)</x:f>
        <x:v>63</x:v>
      </x:c>
      <x:c r="D5" s="77" t="n">
        <x:f>E4</x:f>
        <x:v>250</x:v>
      </x:c>
      <x:c r="E5" s="77" t="n">
        <x:f>D5+C5</x:f>
        <x:v>313</x:v>
      </x:c>
    </x:row>
    <x:row r="6">
      <x:c r="A6" s="69" t="str">
        <x:v>AI02-SH05</x:v>
      </x:c>
      <x:c r="B6" s="74" t="n">
        <x:v>3</x:v>
      </x:c>
      <x:c r="C6" s="77" t="n">
        <x:f>ROUND(B6*$B$18,0)</x:f>
        <x:v>75</x:v>
      </x:c>
      <x:c r="D6" s="77" t="n">
        <x:f>E5</x:f>
        <x:v>313</x:v>
      </x:c>
      <x:c r="E6" s="77" t="n">
        <x:f>D6+C6</x:f>
        <x:v>388</x:v>
      </x:c>
    </x:row>
    <x:row r="7">
      <x:c r="A7" s="69" t="str">
        <x:v>AI02-SH06</x:v>
      </x:c>
      <x:c r="B7" s="74" t="n">
        <x:v>3</x:v>
      </x:c>
      <x:c r="C7" s="77" t="n">
        <x:f>ROUND(B7*$B$18,0)</x:f>
        <x:v>75</x:v>
      </x:c>
      <x:c r="D7" s="77" t="n">
        <x:f>E6</x:f>
        <x:v>388</x:v>
      </x:c>
      <x:c r="E7" s="77" t="n">
        <x:f>D7+C7</x:f>
        <x:v>463</x:v>
      </x:c>
    </x:row>
    <x:row r="8">
      <x:c r="A8" s="69" t="str">
        <x:v>AI02-SH07</x:v>
      </x:c>
      <x:c r="B8" s="74" t="n">
        <x:v>3</x:v>
      </x:c>
      <x:c r="C8" s="77" t="n">
        <x:f>ROUND(B8*$B$18,0)</x:f>
        <x:v>75</x:v>
      </x:c>
      <x:c r="D8" s="77" t="n">
        <x:f>E7</x:f>
        <x:v>463</x:v>
      </x:c>
      <x:c r="E8" s="77" t="n">
        <x:f>D8+C8</x:f>
        <x:v>538</x:v>
      </x:c>
    </x:row>
    <x:row r="9">
      <x:c r="A9" s="69" t="str">
        <x:v>AI02-SH08</x:v>
      </x:c>
      <x:c r="B9" s="74" t="n">
        <x:v>2.48</x:v>
      </x:c>
      <x:c r="C9" s="77" t="n">
        <x:f>ROUND(B9*$B$18,0)</x:f>
        <x:v>62</x:v>
      </x:c>
      <x:c r="D9" s="77" t="n">
        <x:f>E8</x:f>
        <x:v>538</x:v>
      </x:c>
      <x:c r="E9" s="77" t="n">
        <x:f>D9+C9</x:f>
        <x:v>600</x:v>
      </x:c>
    </x:row>
    <x:row r="10">
      <x:c r="A10" s="69" t="str">
        <x:v>AI02-SH09</x:v>
      </x:c>
      <x:c r="B10" s="74" t="n">
        <x:v>3</x:v>
      </x:c>
      <x:c r="C10" s="77" t="n">
        <x:f>ROUND(B10*$B$18,0)</x:f>
        <x:v>75</x:v>
      </x:c>
      <x:c r="D10" s="77" t="n">
        <x:f>E9</x:f>
        <x:v>600</x:v>
      </x:c>
      <x:c r="E10" s="77" t="n">
        <x:f>D10+C10</x:f>
        <x:v>675</x:v>
      </x:c>
    </x:row>
    <x:row r="11">
      <x:c r="A11" s="69" t="str">
        <x:v>AI02-SH10</x:v>
      </x:c>
      <x:c r="B11" s="74" t="n">
        <x:v>2.52</x:v>
      </x:c>
      <x:c r="C11" s="77" t="n">
        <x:f>ROUND(B11*$B$18,0)</x:f>
        <x:v>63</x:v>
      </x:c>
      <x:c r="D11" s="77" t="n">
        <x:f>E10</x:f>
        <x:v>675</x:v>
      </x:c>
      <x:c r="E11" s="77" t="n">
        <x:f>D11+C11</x:f>
        <x:v>738</x:v>
      </x:c>
    </x:row>
    <x:row r="12">
      <x:c r="A12" s="69" t="str">
        <x:v>AI02-SH11</x:v>
      </x:c>
      <x:c r="B12" s="74" t="n">
        <x:v>3</x:v>
      </x:c>
      <x:c r="C12" s="77" t="n">
        <x:f>ROUND(B12*$B$18,0)</x:f>
        <x:v>75</x:v>
      </x:c>
      <x:c r="D12" s="77" t="n">
        <x:f>E11</x:f>
        <x:v>738</x:v>
      </x:c>
      <x:c r="E12" s="77" t="n">
        <x:f>D12+C12</x:f>
        <x:v>813</x:v>
      </x:c>
    </x:row>
    <x:row r="13">
      <x:c r="A13" s="69" t="str">
        <x:v>AI02-SH12</x:v>
      </x:c>
      <x:c r="B13" s="74" t="n">
        <x:v>3</x:v>
      </x:c>
      <x:c r="C13" s="77" t="n">
        <x:f>ROUND(B13*$B$18,0)</x:f>
        <x:v>75</x:v>
      </x:c>
      <x:c r="D13" s="77" t="n">
        <x:f>E12</x:f>
        <x:v>813</x:v>
      </x:c>
      <x:c r="E13" s="77" t="n">
        <x:f>D13+C13</x:f>
        <x:v>888</x:v>
      </x:c>
    </x:row>
    <x:row r="14">
      <x:c r="A14" s="69" t="str">
        <x:v>AI02-SH13</x:v>
      </x:c>
      <x:c r="B14" s="74" t="n">
        <x:v>3.48</x:v>
      </x:c>
      <x:c r="C14" s="77" t="n">
        <x:f>ROUND(B14*$B$18,0)</x:f>
        <x:v>87</x:v>
      </x:c>
      <x:c r="D14" s="77" t="n">
        <x:f>E13</x:f>
        <x:v>888</x:v>
      </x:c>
      <x:c r="E14" s="77" t="n">
        <x:f>D14+C14</x:f>
        <x:v>975</x:v>
      </x:c>
    </x:row>
    <x:row r="15">
      <x:c r="A15" s="69" t="str">
        <x:v>AI02-SH14</x:v>
      </x:c>
      <x:c r="B15" s="74" t="n">
        <x:v>4</x:v>
      </x:c>
      <x:c r="C15" s="77" t="n">
        <x:f>ROUND(B15*$B$18,0)</x:f>
        <x:v>100</x:v>
      </x:c>
      <x:c r="D15" s="77" t="n">
        <x:f>E14</x:f>
        <x:v>975</x:v>
      </x:c>
      <x:c r="E15" s="77" t="n">
        <x:f>D15+C15</x:f>
        <x:v>1075</x:v>
      </x:c>
    </x:row>
    <x:row r="16">
      <x:c r="B16" s="75"/>
      <x:c r="C16" s="78"/>
      <x:c r="D16" s="78"/>
      <x:c r="E16" s="78"/>
    </x:row>
    <x:row r="17">
      <x:c r="A17" s="71" t="str">
        <x:v>合计</x:v>
      </x:c>
      <x:c r="B17" s="76" t="n">
        <x:f>SUM(B2:B15)</x:f>
        <x:v>42.99999999999999</x:v>
      </x:c>
      <x:c r="C17" s="79" t="n">
        <x:f>SUM(C2:C15)</x:f>
        <x:v>1075</x:v>
      </x:c>
      <x:c r="D17" s="79"/>
      <x:c r="E17" s="79" t="n">
        <x:f>MAX(E2:E15)</x:f>
        <x:v>1075</x:v>
      </x:c>
    </x:row>
    <x:row r="18">
      <x:c r="A18" s="71" t="str">
        <x:v>帧率</x:v>
      </x:c>
      <x:c r="B18" s="71" t="n">
        <x:v>25</x:v>
      </x:c>
      <x:c r="C18" s="79" t="str">
        <x:v>fps</x:v>
      </x:c>
      <x:c r="D18" s="79"/>
      <x:c r="E18" s="79"/>
    </x:row>
    <x:row r="20" ht="34" customHeight="1">
      <x:c r="A20" s="73" t="str">
        <x:v>验收：总长43.000秒＝1075帧；所有镜头时长均为25fps整帧数；时间码前后连续。</x:v>
      </x:c>
      <x:c r="B20" s="73"/>
      <x:c r="C20" s="73"/>
      <x:c r="D20" s="73"/>
      <x:c r="E20" s="73"/>
    </x:row>
  </x:sheetData>
  <x:mergeCells>
    <x:mergeCell ref="A20:E20"/>
  </x:mergeCells>
  <x:pageMargins left="0.7" right="0.7" top="0.75" bottom="0.75" header="0.3" footer="0.3"/>
</x:worksheet>
</file>