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6e35b9847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02分镜表" sheetId="1" r:id="R4487895f89df468d"/>
    <x:sheet xmlns:r="http://schemas.openxmlformats.org/officeDocument/2006/relationships" name="执行说明" sheetId="2" r:id="R9e14cc3d9df8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10">
    <x:font>
      <x:sz val="11"/>
      <x:name val="Carlito"/>
    </x:font>
    <x:font>
      <x:sz val="10"/>
      <x:color rgb="FF25313C"/>
      <x:name val="Microsoft YaHei"/>
    </x:font>
    <x:font>
      <x:b/>
      <x:sz val="11"/>
      <x:color rgb="FFFFFFFF"/>
      <x:name val="Microsoft YaHei"/>
    </x:font>
    <x:font>
      <x:b/>
      <x:sz val="10"/>
      <x:color rgb="FF315D64"/>
      <x:name val="Microsoft YaHei"/>
    </x:font>
    <x:font>
      <x:b/>
      <x:sz val="10"/>
      <x:color rgb="FF7A5A18"/>
      <x:name val="Microsoft YaHei"/>
    </x:font>
    <x:font>
      <x:b/>
      <x:sz val="16"/>
      <x:color rgb="FFFFFFFF"/>
      <x:name val="Microsoft YaHei"/>
    </x:font>
    <x:font>
      <x:b/>
      <x:sz val="11"/>
      <x:color rgb="FF315D64"/>
      <x:name val="Microsoft YaHei"/>
    </x:font>
    <x:font>
      <x:sz val="11"/>
      <x:color rgb="FF25313C"/>
      <x:name val="Microsoft YaHei"/>
    </x:font>
    <x:font>
      <x:b/>
      <x:sz val="12"/>
      <x:color rgb="FFFFFFFF"/>
      <x:name val="Microsoft YaHei"/>
    </x:font>
    <x:font>
      <x:i/>
      <x:sz val="10"/>
      <x:color rgb="FF6E531D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315D64"/>
      </x:patternFill>
    </x:fill>
    <x:fill>
      <x:patternFill patternType="solid">
        <x:fgColor rgb="FFEEF5F3"/>
      </x:patternFill>
    </x:fill>
    <x:fill>
      <x:patternFill patternType="solid">
        <x:fgColor rgb="FFFFF5DC"/>
      </x:patternFill>
    </x:fill>
    <x:fill>
      <x:patternFill patternType="solid">
        <x:fgColor rgb="FFE7F0EE"/>
      </x:patternFill>
    </x:fill>
    <x:fill>
      <x:patternFill patternType="solid">
        <x:fgColor rgb="FFFAFCFB"/>
      </x:patternFill>
    </x:fill>
    <x:fill>
      <x:patternFill patternType="solid">
        <x:fgColor rgb="FF7F9F92"/>
      </x:patternFill>
    </x:fill>
    <x:fill>
      <x:patternFill patternType="solid">
        <x:fgColor rgb="FFF5F8F7"/>
      </x:patternFill>
    </x:fill>
  </x:fills>
  <x:borders count="16">
    <x:border/>
    <x:border/>
    <x:border>
      <x:left style="medium">
        <x:color rgb="FF315D64"/>
      </x:left>
      <x:top style="medium">
        <x:color rgb="FF315D64"/>
      </x:top>
      <x:bottom style="medium">
        <x:color rgb="FF315D64"/>
      </x:bottom>
    </x:border>
    <x:border>
      <x:top style="medium">
        <x:color rgb="FF315D64"/>
      </x:top>
      <x:bottom style="medium">
        <x:color rgb="FF315D64"/>
      </x:bottom>
    </x:border>
    <x:border>
      <x:right style="medium">
        <x:color rgb="FF315D64"/>
      </x:right>
      <x:top style="medium">
        <x:color rgb="FF315D64"/>
      </x:top>
      <x:bottom style="medium">
        <x:color rgb="FF315D64"/>
      </x:bottom>
    </x:border>
    <x:border>
      <x:left style="medium">
        <x:color rgb="FF315D64"/>
      </x:left>
      <x:top style="medium">
        <x:color rgb="FF315D64"/>
      </x:top>
      <x:bottom style="medium">
        <x:color rgb="FF315D64"/>
      </x:bottom>
    </x:border>
    <x:border>
      <x:top style="medium">
        <x:color rgb="FF315D64"/>
      </x:top>
      <x:bottom style="medium">
        <x:color rgb="FF315D64"/>
      </x:bottom>
    </x:border>
    <x:border>
      <x:right style="medium">
        <x:color rgb="FF315D64"/>
      </x:right>
      <x:top style="medium">
        <x:color rgb="FF315D64"/>
      </x:top>
      <x:bottom style="medium">
        <x:color rgb="FF315D64"/>
      </x:bottom>
    </x:border>
    <x:border>
      <x:bottom style="thin">
        <x:color rgb="FFD8E1DF"/>
      </x:bottom>
    </x:border>
    <x:border>
      <x:top style="thin">
        <x:color rgb="FFD8E1DF"/>
      </x:top>
      <x:bottom style="thin">
        <x:color rgb="FFD8E1DF"/>
      </x:bottom>
    </x:border>
    <x:border>
      <x:top style="thin">
        <x:color rgb="FFD8E1DF"/>
      </x:top>
      <x:bottom style="thin">
        <x:color rgb="FFAFC2BE"/>
      </x:bottom>
    </x:border>
    <x:border>
      <x:bottom style="thin">
        <x:color rgb="FFD8E1DF"/>
      </x:bottom>
    </x:border>
    <x:border>
      <x:top style="thin">
        <x:color rgb="FFD8E1DF"/>
      </x:top>
      <x:bottom style="thin">
        <x:color rgb="FFD8E1DF"/>
      </x:bottom>
    </x:border>
    <x:border>
      <x:top style="thin">
        <x:color rgb="FFD8E1DF"/>
      </x:top>
      <x:bottom style="thin">
        <x:color rgb="FFAFC2BE"/>
      </x:bottom>
    </x:border>
    <x:border>
      <x:left style="thin">
        <x:color rgb="FFC8D6D3"/>
      </x:left>
      <x:right style="thin">
        <x:color rgb="FFC8D6D3"/>
      </x:right>
      <x:top style="thin">
        <x:color rgb="FFC8D6D3"/>
      </x:top>
      <x:bottom style="thin">
        <x:color rgb="FFC8D6D3"/>
      </x:bottom>
    </x:border>
    <x:border>
      <x:left style="thin">
        <x:color rgb="FFC8D6D3"/>
      </x:left>
      <x:right style="thin">
        <x:color rgb="FFC8D6D3"/>
      </x:right>
      <x:top style="thin">
        <x:color rgb="FFC8D6D3"/>
      </x:top>
      <x:bottom style="thin">
        <x:color rgb="FFC8D6D3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1" fillId="3" borderId="13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3" fillId="3" borderId="10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200" fontId="4" fillId="4" borderId="8" xfId="0" applyNumberFormat="1" applyFont="1" applyFill="1" applyBorder="1" applyAlignment="1">
      <x:alignment vertical="center" wrapText="1"/>
    </x:xf>
    <x:xf numFmtId="200" fontId="4" fillId="4" borderId="9" xfId="0" applyNumberFormat="1" applyFont="1" applyFill="1" applyBorder="1" applyAlignment="1">
      <x:alignment vertical="center" wrapText="1"/>
    </x:xf>
    <x:xf numFmtId="200" fontId="4" fillId="4" borderId="10" xfId="0" applyNumberFormat="1" applyFont="1" applyFill="1" applyBorder="1" applyAlignment="1">
      <x:alignment vertical="center" wrapText="1"/>
    </x:xf>
    <x:xf numFmtId="200" fontId="4" fillId="4" borderId="11" xfId="0" applyNumberFormat="1" applyFont="1" applyFill="1" applyBorder="1" applyAlignment="1">
      <x:alignment vertical="center" wrapText="1"/>
    </x:xf>
    <x:xf numFmtId="200" fontId="4" fillId="4" borderId="12" xfId="0" applyNumberFormat="1" applyFont="1" applyFill="1" applyBorder="1" applyAlignment="1">
      <x:alignment vertical="center" wrapText="1"/>
    </x:xf>
    <x:xf numFmtId="200" fontId="4" fillId="4" borderId="13" xfId="0" applyNumberFormat="1" applyFont="1" applyFill="1" applyBorder="1" applyAlignment="1">
      <x:alignment vertical="center" wrapText="1"/>
    </x:xf>
    <x:xf numFmtId="200" fontId="4" fillId="4" borderId="8" xfId="0" applyNumberFormat="1" applyFont="1" applyFill="1" applyBorder="1" applyAlignment="1">
      <x:alignment horizontal="center" vertical="center" wrapText="1"/>
    </x:xf>
    <x:xf numFmtId="200" fontId="4" fillId="4" borderId="9" xfId="0" applyNumberFormat="1" applyFont="1" applyFill="1" applyBorder="1" applyAlignment="1">
      <x:alignment horizontal="center" vertical="center" wrapText="1"/>
    </x:xf>
    <x:xf numFmtId="200" fontId="4" fillId="4" borderId="10" xfId="0" applyNumberFormat="1" applyFont="1" applyFill="1" applyBorder="1" applyAlignment="1">
      <x:alignment horizontal="center" vertical="center" wrapText="1"/>
    </x:xf>
    <x:xf numFmtId="200" fontId="4" fillId="4" borderId="11" xfId="0" applyNumberFormat="1" applyFont="1" applyFill="1" applyBorder="1" applyAlignment="1">
      <x:alignment horizontal="center" vertical="center" wrapText="1"/>
    </x:xf>
    <x:xf numFmtId="200" fontId="4" fillId="4" borderId="12" xfId="0" applyNumberFormat="1" applyFont="1" applyFill="1" applyBorder="1" applyAlignment="1">
      <x:alignment horizontal="center" vertical="center" wrapText="1"/>
    </x:xf>
    <x:xf numFmtId="200" fontId="4" fillId="4" borderId="13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1" fontId="7" fillId="6" borderId="0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/>
    </x:xf>
    <x:xf numFmtId="0" fontId="7" fillId="6" borderId="14" xfId="0" applyNumberFormat="1" applyFont="1" applyFill="1" applyBorder="1" applyAlignment="1">
      <x:alignment vertical="center" wrapText="1"/>
    </x:xf>
    <x:xf numFmtId="201" fontId="7" fillId="6" borderId="14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/>
    </x:xf>
    <x:xf numFmtId="0" fontId="7" fillId="6" borderId="15" xfId="0" applyNumberFormat="1" applyFont="1" applyFill="1" applyBorder="1" applyAlignment="1">
      <x:alignment vertical="center" wrapText="1"/>
    </x:xf>
    <x:xf numFmtId="201" fontId="7" fillId="6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8ad1989454d5f" /><Relationship Type="http://schemas.openxmlformats.org/officeDocument/2006/relationships/theme" Target="/xl/theme/theme1.xml" Id="R07fcda2666194edc" /><Relationship Type="http://schemas.openxmlformats.org/officeDocument/2006/relationships/sharedStrings" Target="/xl/sharedStrings.xml" Id="R41123568c1e54541" /><Relationship Type="http://schemas.openxmlformats.org/officeDocument/2006/relationships/worksheet" Target="/xl/worksheets/sheet1.xml" Id="R4487895f89df468d" /><Relationship Type="http://schemas.openxmlformats.org/officeDocument/2006/relationships/worksheet" Target="/xl/worksheets/sheet2.xml" Id="R9e14cc3d9df848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31" hidden="0" customWidth="1"/>
    <x:col min="4" max="4" width="10" hidden="0" customWidth="1"/>
    <x:col min="5" max="5" width="38" hidden="0" customWidth="1"/>
    <x:col min="6" max="6" width="50" hidden="0" customWidth="1"/>
    <x:col min="7" max="7" width="58" hidden="0" customWidth="1"/>
    <x:col min="8" max="8" width="48" hidden="0" customWidth="1"/>
    <x:col min="9" max="9" width="31" hidden="0" customWidth="1"/>
    <x:col min="10" max="10" width="49" hidden="0" customWidth="1"/>
  </x:cols>
  <x:sheetData>
    <x:row r="1" ht="34" customHeight="1">
      <x:c r="A1" s="18" t="str">
        <x:v>镜头编号</x:v>
      </x:c>
      <x:c r="B1" s="19" t="str">
        <x:v>生成单元</x:v>
      </x:c>
      <x:c r="C1" s="19" t="str">
        <x:v>对应剧本内容</x:v>
      </x:c>
      <x:c r="D1" s="19" t="str">
        <x:v>时长秒</x:v>
      </x:c>
      <x:c r="E1" s="19" t="str">
        <x:v>场景或视图</x:v>
      </x:c>
      <x:c r="F1" s="19" t="str">
        <x:v>画面设计</x:v>
      </x:c>
      <x:c r="G1" s="19" t="str">
        <x:v>人物站位表演与原台词</x:v>
      </x:c>
      <x:c r="H1" s="19" t="str">
        <x:v>调用资产</x:v>
      </x:c>
      <x:c r="I1" s="19" t="str">
        <x:v>同期声</x:v>
      </x:c>
      <x:c r="J1" s="20" t="str">
        <x:v>结尾状态或剪辑衔接</x:v>
      </x:c>
    </x:row>
    <x:row r="2" ht="92" customHeight="1">
      <x:c r="A2" s="42" t="str">
        <x:v>AI02-SH01</x:v>
      </x:c>
      <x:c r="B2" s="42" t="str">
        <x:v>镜头组G01</x:v>
      </x:c>
      <x:c r="C2" s="24" t="str">
        <x:v>清晨龙水湖、岛群、薄雾与白鹭建立</x:v>
      </x:c>
      <x:c r="D2" s="66" t="n">
        <x:v>3.5</x:v>
      </x:c>
      <x:c r="E2" s="24" t="str">
        <x:v>QNXY-SCN-P0-005-V-MASTER；白鹭湖面意境</x:v>
      </x:c>
      <x:c r="F2" s="24" t="str">
        <x:v>龙水湖场景大远景；28mm；略高机位；极慢推近。层山、岛群与湖道形成三层纵深，局部白鹭掠过树冠和水面</x:v>
      </x:c>
      <x:c r="G2" s="24" t="str">
        <x:v>无人物，无同期台词；湖面只出现细碎暖灰金反光，雾集中在远山脚与水道上方</x:v>
      </x:c>
      <x:c r="H2" s="24" t="str">
        <x:v>QNXY-SCN-P0-005；QNXY-ANM-P1-001；QNXY-LGT-P0-006；QNXY-REF-051/052</x:v>
      </x:c>
      <x:c r="I2" s="24" t="str">
        <x:v>湖风、远水、零散白鹭声</x:v>
      </x:c>
      <x:c r="J2" s="24" t="str">
        <x:v>一只白鹭向画外飞离，以翅声和湖风硬切到院内</x:v>
      </x:c>
    </x:row>
    <x:row r="3" ht="92" customHeight="1">
      <x:c r="A3" s="43" t="str">
        <x:v>AI02-SH02</x:v>
      </x:c>
      <x:c r="B3" s="43" t="str">
        <x:v>镜头组G01</x:v>
      </x:c>
      <x:c r="C3" s="25" t="str">
        <x:v>林如蔚在小院整理晒干药草</x:v>
      </x:c>
      <x:c r="D3" s="67" t="n">
        <x:v>3.5</x:v>
      </x:c>
      <x:c r="E3" s="25" t="str">
        <x:v>QNXY-SCN-P0-005-V-EXIT-COURTYARD；药草桌中景</x:v>
      </x:c>
      <x:c r="F3" s="25" t="str">
        <x:v>林如蔚中景；50mm；药草桌侧前方平视；短距离横移后停住。药草桌、主屋、大树和篱笆露天开口方向可读</x:v>
      </x:c>
      <x:c r="G3" s="25" t="str">
        <x:v>林如蔚坐在药草桌旁，双手分束并理齐药草，动作熟练安静，无同期台词；低角度晨光穿过树叶落成少量斑驳碎光</x:v>
      </x:c>
      <x:c r="H3" s="25" t="str">
        <x:v>QNXY-CHR-P0-002；QNXY-CST-P0-002；QNXY-PRP-P1-004；QNXY-LGT-P0-006；QNXY-REF-047/062</x:v>
      </x:c>
      <x:c r="I3" s="25" t="str">
        <x:v>药草与竹匾摩擦、树叶轻响、远湖底噪</x:v>
      </x:c>
      <x:c r="J3" s="25" t="str">
        <x:v>林如蔚将一束药草放入竹匾，手回到下一束上方</x:v>
      </x:c>
    </x:row>
    <x:row r="4" ht="92" customHeight="1">
      <x:c r="A4" s="43" t="str">
        <x:v>AI02-SH03</x:v>
      </x:c>
      <x:c r="B4" s="43" t="str">
        <x:v>镜头组G01</x:v>
      </x:c>
      <x:c r="C4" s="25" t="str">
        <x:v>远湖小舟归来，苏珏站在船头</x:v>
      </x:c>
      <x:c r="D4" s="67" t="n">
        <x:v>3</x:v>
      </x:c>
      <x:c r="E4" s="25" t="str">
        <x:v>QNXY-SCN-P0-005-V-LAKE-TO-SHORE；REF-057湖面看小院全景</x:v>
      </x:c>
      <x:c r="F4" s="25" t="str">
        <x:v>临湖小院与归舟场景远景；50mm；湖面低机位；缓慢推近。小院、中央临水台阶与小舟形成清楚的归家方向</x:v>
      </x:c>
      <x:c r="G4" s="25" t="str">
        <x:v>苏珏站在船头右手持蓝色包袱，随船轻微调整重心；一名年长船工在船尾操桨；苏珏尚未挥手，无同期台词</x:v>
      </x:c>
      <x:c r="H4" s="25" t="str">
        <x:v>QNXY-CHR-P0-001；QNXY-CST-P0-001；QNXY-VEH-P0-001；QNXY-CRO-P1-003；QNXY-PRP-P2-008；QNXY-LGT-P0-006；QNXY-REF-048/057/058/063</x:v>
      </x:c>
      <x:c r="I4" s="25" t="str">
        <x:v>远处桨水声、低弱船板声、湖风</x:v>
      </x:c>
      <x:c r="J4" s="25" t="str">
        <x:v>小舟仍在湖中，船头继续朝向小院中央临水台阶，船桨入水声作为声音接点切回药草桌</x:v>
      </x:c>
    </x:row>
    <x:row r="5" ht="92" customHeight="1">
      <x:c r="A5" s="43" t="str">
        <x:v>AI02-SH04</x:v>
      </x:c>
      <x:c r="B5" s="43" t="str">
        <x:v>镜头组G02</x:v>
      </x:c>
      <x:c r="C5" s="25" t="str">
        <x:v>林如蔚先听见远处桨声，整理动作停下</x:v>
      </x:c>
      <x:c r="D5" s="67" t="n">
        <x:v>2.5</x:v>
      </x:c>
      <x:c r="E5" s="25" t="str">
        <x:v>QNXY-SCN-P0-005-V-EXIT-COURTYARD；药草桌局部</x:v>
      </x:c>
      <x:c r="F5" s="25" t="str">
        <x:v>林如蔚双手与药草动作近景；70mm；手部高度平视；固定机位</x:v>
      </x:c>
      <x:c r="G5" s="25" t="str">
        <x:v>林如蔚手指原本在理顺药草，远桨声进入后动作自然停住半拍；无同期台词</x:v>
      </x:c>
      <x:c r="H5" s="25" t="str">
        <x:v>QNXY-CHR-P0-002；QNXY-CST-P0-002；QNXY-PRP-P1-004；QNXY-LGT-P0-006；QNXY-REF-047/062</x:v>
      </x:c>
      <x:c r="I5" s="25" t="str">
        <x:v>药草摩擦声渐停、远桨声变清楚</x:v>
      </x:c>
      <x:c r="J5" s="25" t="str">
        <x:v>双手保持在药草上方，剪辑点落在动作停住的半拍</x:v>
      </x:c>
    </x:row>
    <x:row r="6" ht="92" customHeight="1">
      <x:c r="A6" s="43" t="str">
        <x:v>AI02-SH05</x:v>
      </x:c>
      <x:c r="B6" s="43" t="str">
        <x:v>镜头组G02</x:v>
      </x:c>
      <x:c r="C6" s="25" t="str">
        <x:v>林如蔚辨认出归舟并起身</x:v>
      </x:c>
      <x:c r="D6" s="67" t="n">
        <x:v>3</x:v>
      </x:c>
      <x:c r="E6" s="25" t="str">
        <x:v>QNXY-SCN-P0-005-V-EXIT-COURTYARD；药草桌至篱笆露天开口方向</x:v>
      </x:c>
      <x:c r="F6" s="25" t="str">
        <x:v>林如蔚中近景；65mm；三分之四侧面平视；极轻推近</x:v>
      </x:c>
      <x:c r="G6" s="25" t="str">
        <x:v>林如蔚侧耳，抬眼看向湖面方向，眼神亮起后起身；无同期台词。动作克制，不猛然转头</x:v>
      </x:c>
      <x:c r="H6" s="25" t="str">
        <x:v>QNXY-CHR-P0-002；QNXY-CST-P0-002；QNXY-LGT-P0-006；QNXY-REF-047/059/062</x:v>
      </x:c>
      <x:c r="I6" s="25" t="str">
        <x:v>远桨、水声、木凳轻响、衣料声</x:v>
      </x:c>
      <x:c r="J6" s="25" t="str">
        <x:v>林如蔚起身完成，身体朝篱笆露天开口方向转好</x:v>
      </x:c>
    </x:row>
    <x:row r="7" ht="92" customHeight="1">
      <x:c r="A7" s="43" t="str">
        <x:v>AI02-SH06</x:v>
      </x:c>
      <x:c r="B7" s="43" t="str">
        <x:v>镜头组G02</x:v>
      </x:c>
      <x:c r="C7" s="25" t="str">
        <x:v>林如蔚从药草桌走到篱笆露天开口旁</x:v>
      </x:c>
      <x:c r="D7" s="67" t="n">
        <x:v>3</x:v>
      </x:c>
      <x:c r="E7" s="25" t="str">
        <x:v>QNXY-SCN-P0-005-V-EXIT-COURTYARD；桌至篱笆露天开口动作通道</x:v>
      </x:c>
      <x:c r="F7" s="25" t="str">
        <x:v>林如蔚全身景；35mm；院内侧后方机位；短距离跟移。主屋、大树、药桌与低矮篱笆关系保持不变</x:v>
      </x:c>
      <x:c r="G7" s="25" t="str">
        <x:v>林如蔚从药草桌快步走到低矮篱笆露天开口旁的平整院地并停下；不下石路、不去岸边；无同期台词</x:v>
      </x:c>
      <x:c r="H7" s="25" t="str">
        <x:v>QNXY-CHR-P0-002；QNXY-CST-P0-002；QNXY-SCN-P0-005；QNXY-LGT-P0-006；QNXY-REF-047/059/061</x:v>
      </x:c>
      <x:c r="I7" s="25" t="str">
        <x:v>土地脚步、裙摆与腰饰轻响、远桨声</x:v>
      </x:c>
      <x:c r="J7" s="25" t="str">
        <x:v>林如蔚停在篱笆露天开口旁，视线越过石路看向远湖</x:v>
      </x:c>
    </x:row>
    <x:row r="8" ht="92" customHeight="1">
      <x:c r="A8" s="43" t="str">
        <x:v>AI02-SH07</x:v>
      </x:c>
      <x:c r="B8" s="43" t="str">
        <x:v>镜头组G03</x:v>
      </x:c>
      <x:c r="C8" s="25" t="str">
        <x:v>林如蔚在篱笆露天开口旁向仍在湖中的苏珏挥手</x:v>
      </x:c>
      <x:c r="D8" s="67" t="n">
        <x:v>3</x:v>
      </x:c>
      <x:c r="E8" s="25" t="str">
        <x:v>QNXY-SCN-P0-005-V-LAKE-TO-SHORE；小院正面视图</x:v>
      </x:c>
      <x:c r="F8" s="25" t="str">
        <x:v>林如蔚正面中景；65mm；湖侧朝向小院的平视固定机位。背景只保留开放小院、主屋、药草桌和大树，不强带远舟关系</x:v>
      </x:c>
      <x:c r="G8" s="25" t="str">
        <x:v>林如蔚独自站在篱笆露天开口旁的平整院地，确认远湖小舟后抬右手小幅挥动；湖风从湖面吹向小院，只带动鬓边少量碎发、长辫末端和袖缘；无同期台词</x:v>
      </x:c>
      <x:c r="H8" s="25" t="str">
        <x:v>QNXY-CHR-P0-002；QNXY-CST-P0-002；QNXY-LGT-P0-006；QNXY-REF-047/061</x:v>
      </x:c>
      <x:c r="I8" s="25" t="str">
        <x:v>开阔湖风、远桨水声、袖料轻响</x:v>
      </x:c>
      <x:c r="J8" s="25" t="str">
        <x:v>林如蔚手臂自然放松，仍站在篱笆露天开口旁，视线保持向湖面</x:v>
      </x:c>
    </x:row>
    <x:row r="9" ht="92" customHeight="1">
      <x:c r="A9" s="43" t="str">
        <x:v>AI02-SH08</x:v>
      </x:c>
      <x:c r="B9" s="43" t="str">
        <x:v>镜头组G03</x:v>
      </x:c>
      <x:c r="C9" s="25" t="str">
        <x:v>苏珏在船头抬手回应</x:v>
      </x:c>
      <x:c r="D9" s="67" t="n">
        <x:v>2.5</x:v>
      </x:c>
      <x:c r="E9" s="25" t="str">
        <x:v>QNXY-SCN-P0-005-V-SHORE-TO-LAKE；湖中船头反打</x:v>
      </x:c>
      <x:c r="F9" s="25" t="str">
        <x:v>苏珏中景；100mm；岸边长焦反打；轻微随船漂移。苏珏为主体，船工在后景</x:v>
      </x:c>
      <x:c r="G9" s="25" t="str">
        <x:v>苏珏右手继续持包，空出的左手小幅抬起回应；笑意克制，身体保持平衡。湖风轻动脸侧碎发、长发末端和衣袖；无同期台词</x:v>
      </x:c>
      <x:c r="H9" s="25" t="str">
        <x:v>QNXY-CHR-P0-001；QNXY-CST-P0-001；QNXY-VEH-P0-001；QNXY-CRO-P1-003；QNXY-PRP-P2-008；QNXY-LGT-P0-006；QNXY-REF-048/058/063</x:v>
      </x:c>
      <x:c r="I9" s="25" t="str">
        <x:v>桨水、船板、衣袖和湖风</x:v>
      </x:c>
      <x:c r="J9" s="25" t="str">
        <x:v>苏珏左手放回身体一侧，右手持包状态不变</x:v>
      </x:c>
    </x:row>
    <x:row r="10" ht="92" customHeight="1">
      <x:c r="A10" s="43" t="str">
        <x:v>AI02-SH09</x:v>
      </x:c>
      <x:c r="B10" s="43" t="str">
        <x:v>镜头组G04</x:v>
      </x:c>
      <x:c r="C10" s="25" t="str">
        <x:v>小舟向固定停靠点接近，林如蔚继续等待</x:v>
      </x:c>
      <x:c r="D10" s="67" t="n">
        <x:v>3.5</x:v>
      </x:c>
      <x:c r="E10" s="25" t="str">
        <x:v>QNXY-SCN-P0-005-V-LAKE-TO-SHORE；REF-057湖面看小院全景</x:v>
      </x:c>
      <x:c r="F10" s="25" t="str">
        <x:v>临湖小院与归舟场景大远景；50mm；湖面低机位；缓慢推近。中央临水台阶连接小院与湖面，小舟沿中央轴接近</x:v>
      </x:c>
      <x:c r="G10" s="25" t="str">
        <x:v>林如蔚站在中央临水台阶上端、低矮篱笆露天开口旁的平整院地，远景小比例安静等待；苏珏保持船头站立，船工在船尾连续操桨；无同期台词</x:v>
      </x:c>
      <x:c r="H10" s="25" t="str">
        <x:v>QNXY-CHR-P0-001/002；QNXY-CST-P0-001/002；QNXY-VEH-P0-001；QNXY-CRO-P1-003；QNXY-PRP-P2-008；QNXY-LGT-P0-006；QNXY-REF-047/048/057/058/063</x:v>
      </x:c>
      <x:c r="I10" s="25" t="str">
        <x:v>桨声逐渐变近、船头破水、小浪声</x:v>
      </x:c>
      <x:c r="J10" s="25" t="str">
        <x:v>小舟进入临水台阶前方水域，船工准备减桨；林如蔚保持原位等待</x:v>
      </x:c>
    </x:row>
    <x:row r="11" ht="92" customHeight="1">
      <x:c r="A11" s="43" t="str">
        <x:v>AI02-SH10</x:v>
      </x:c>
      <x:c r="B11" s="43" t="str">
        <x:v>镜头组G04</x:v>
      </x:c>
      <x:c r="C11" s="25" t="str">
        <x:v>小舟减速、轻触水岸并停稳</x:v>
      </x:c>
      <x:c r="D11" s="67" t="n">
        <x:v>2.5</x:v>
      </x:c>
      <x:c r="E11" s="25" t="str">
        <x:v>QNXY-SCN-P0-005-V-SHORE-TO-LAKE；REF-056停靠点</x:v>
      </x:c>
      <x:c r="F11" s="25" t="str">
        <x:v>小舟船帮、青石岸与水线动作中景；55mm；略低平视；固定机位</x:v>
      </x:c>
      <x:c r="G11" s="25" t="str">
        <x:v>船工减桨并用长桨轻撑稳船；小舟只轻晃一次后停稳。苏珏等待船体稳定，不提前下船；本镜不出现林如蔚，无同期台词</x:v>
      </x:c>
      <x:c r="H11" s="25" t="str">
        <x:v>QNXY-CHR-P0-001；QNXY-VEH-P0-001；QNXY-CRO-P1-003；QNXY-PRP-P2-008；QNXY-LGT-P0-006；QNXY-REF-048/056/058/063</x:v>
      </x:c>
      <x:c r="I11" s="25" t="str">
        <x:v>木桨收水、船板轻响、水拍青石</x:v>
      </x:c>
      <x:c r="J11" s="25" t="str">
        <x:v>船体稳定，苏珏把重心移向靠岸一侧，形成下船动作起点</x:v>
      </x:c>
    </x:row>
    <x:row r="12" ht="92" customHeight="1">
      <x:c r="A12" s="43" t="str">
        <x:v>AI02-SH11</x:v>
      </x:c>
      <x:c r="B12" s="43" t="str">
        <x:v>连续单镜头CU05</x:v>
      </x:c>
      <x:c r="C12" s="25" t="str">
        <x:v>苏珏持包独立完成下船</x:v>
      </x:c>
      <x:c r="D12" s="67" t="n">
        <x:v>3</x:v>
      </x:c>
      <x:c r="E12" s="25" t="str">
        <x:v>QNXY-SCN-P0-005-V-SHORE-TO-LAKE；REF-056停靠点</x:v>
      </x:c>
      <x:c r="F12" s="25" t="str">
        <x:v>苏珏全身动作中全景；70mm；石阶上方朝湖面的平视固定机位</x:v>
      </x:c>
      <x:c r="G12" s="25" t="str">
        <x:v>苏珏右手持包，左手扶船体结构保持平衡，左脚先踏湿润石阶中央，右脚随后跟上，站稳后松开左手；不跳岸。本镜不出现林如蔚，无同期台词</x:v>
      </x:c>
      <x:c r="H12" s="25" t="str">
        <x:v>QNXY-CHR-P0-001；QNXY-CST-P0-001；QNXY-VEH-P0-001；QNXY-CRO-P1-003；QNXY-PRP-P2-008；QNXY-LGT-P0-006；QNXY-REF-048/056/058/063</x:v>
      </x:c>
      <x:c r="I12" s="25" t="str">
        <x:v>船板受力、鞋底踏石、包袱布料、轻呼吸、湖风</x:v>
      </x:c>
      <x:c r="J12" s="25" t="str">
        <x:v>苏珏双脚在石阶上站稳，右手持包，身体转向通往小院的上坡石路</x:v>
      </x:c>
    </x:row>
    <x:row r="13" ht="92" customHeight="1">
      <x:c r="A13" s="43" t="str">
        <x:v>AI02-SH12</x:v>
      </x:c>
      <x:c r="B13" s="43" t="str">
        <x:v>连续单镜头CU06</x:v>
      </x:c>
      <x:c r="C13" s="25" t="str">
        <x:v>苏珏从岸边沿上坡石路走到篱笆露天开口旁</x:v>
      </x:c>
      <x:c r="D13" s="67" t="n">
        <x:v>3</x:v>
      </x:c>
      <x:c r="E13" s="25" t="str">
        <x:v>QNXY-SCN-P0-005-V-SHORE-TO-LAKE；石路至篱笆露天开口</x:v>
      </x:c>
      <x:c r="F13" s="25" t="str">
        <x:v>苏珏全身中远景；50mm；小院高处朝湖面的平视机位；缓慢后移。苏珏沿上坡石路由湖岸向镜头走来</x:v>
      </x:c>
      <x:c r="G13" s="25" t="str">
        <x:v>只拍苏珏持包沿石路回院，不把林如蔚塞入本镜；湖风轻动苏珏长发末端与衣摆，步伐从谨慎转为放松；无同期台词</x:v>
      </x:c>
      <x:c r="H13" s="25" t="str">
        <x:v>QNXY-CHR-P0-001；QNXY-CST-P0-001；QNXY-PRP-P2-008；QNXY-LGT-P0-006；QNXY-REF-048/060/063</x:v>
      </x:c>
      <x:c r="I13" s="25" t="str">
        <x:v>石路脚步、衣摆、湖风、逐渐变远的船板声</x:v>
      </x:c>
      <x:c r="J13" s="25" t="str">
        <x:v>苏珏走至与小院平整地面相接的篱笆露天开口旁并减速</x:v>
      </x:c>
    </x:row>
    <x:row r="14" ht="92" customHeight="1">
      <x:c r="A14" s="43" t="str">
        <x:v>AI02-SH13</x:v>
      </x:c>
      <x:c r="B14" s="43" t="str">
        <x:v>连续单镜头CU07</x:v>
      </x:c>
      <x:c r="C14" s="25" t="str">
        <x:v>二人在篱笆露天开口旁相会，苏珏递出蓝色包袱，林如蔚接稳</x:v>
      </x:c>
      <x:c r="D14" s="67" t="n">
        <x:v>3.5</x:v>
      </x:c>
      <x:c r="E14" s="25" t="str">
        <x:v>QNXY-SCN-P0-005-V-LAKE-TO-SHORE；小院正面视图</x:v>
      </x:c>
      <x:c r="F14" s="25" t="str">
        <x:v>苏珏与林如蔚双人中景；50mm；湖侧朝向小院的正面平视机位；极缓慢推近。主屋、药草桌和大树作为稳定背景</x:v>
      </x:c>
      <x:c r="G14" s="25" t="str">
        <x:v>二人站在篱笆露天开口旁的同一块平整院地；苏珏用右手递出蓝色包袱，林如蔚双手接稳后将包袱托到左臂。二人短暂对视，无同期台词</x:v>
      </x:c>
      <x:c r="H14" s="25" t="str">
        <x:v>QNXY-CHR-P0-001/002；QNXY-CST-P0-001/002；QNXY-PRP-P2-008；QNXY-REL-P1-008；QNXY-LGT-P0-006；QNXY-REF-047/048/061/063</x:v>
      </x:c>
      <x:c r="I14" s="25" t="str">
        <x:v>粗布摩擦、近处衣料、轻呼吸、远水声</x:v>
      </x:c>
      <x:c r="J14" s="25" t="str">
        <x:v>蓝色包袱稳定在林如蔚左臂；苏珏双手自然垂下，二人距离不变</x:v>
      </x:c>
    </x:row>
    <x:row r="15" ht="92" customHeight="1">
      <x:c r="A15" s="44" t="str">
        <x:v>AI02-SH14</x:v>
      </x:c>
      <x:c r="B15" s="44" t="str">
        <x:v>连续单镜头CU08</x:v>
      </x:c>
      <x:c r="C15" s="26" t="str">
        <x:v>林如蔚用衣袖替苏珏擦汗</x:v>
      </x:c>
      <x:c r="D15" s="68" t="n">
        <x:v>3.5</x:v>
      </x:c>
      <x:c r="E15" s="26" t="str">
        <x:v>QNXY-SCN-P0-005-V-LAKE-TO-SHORE；小院正面人物近景</x:v>
      </x:c>
      <x:c r="F15" s="26" t="str">
        <x:v>苏珏与林如蔚双人中近景；85mm；湖侧朝向小院的正面平视机位；极慢推近后停住</x:v>
      </x:c>
      <x:c r="G15" s="26" t="str">
        <x:v>二人仍站在篱笆露天开口旁的同一块平整院地。林如蔚左臂稳托包袱，抬右侧衣袖轻擦苏珏额角一次；苏珏略低头配合，二人相视一笑。湖风只轻动两人少量碎发，不遮眼、不吹乱发型；无同期台词</x:v>
      </x:c>
      <x:c r="H15" s="26" t="str">
        <x:v>QNXY-CHR-P0-001/002；QNXY-CST-P0-001/002；QNXY-PRP-P2-008；QNXY-REL-P1-008；QNXY-LGT-P0-006；QNXY-REF-047/048/061/063</x:v>
      </x:c>
      <x:c r="I15" s="26" t="str">
        <x:v>袖料轻擦、近处呼吸、树叶、远湖水声</x:v>
      </x:c>
      <x:c r="J15" s="26" t="str">
        <x:v>擦汗只完成一次；林如蔚收回衣袖，二人自然停留半拍结束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8" customHeight="1">
      <x:c r="A1" s="78" t="str">
        <x:v>AI-02 小院归家｜V1.1-DRAFT执行说明</x:v>
      </x:c>
      <x:c r="B1" s="78"/>
      <x:c r="C1" s="78"/>
      <x:c r="D1" s="78"/>
      <x:c r="E1" s="78"/>
      <x:c r="F1" s="78"/>
    </x:row>
    <x:row r="3" ht="28" customHeight="1">
      <x:c r="A3" s="96" t="str">
        <x:v>规则字段</x:v>
      </x:c>
      <x:c r="B3" s="97" t="str">
        <x:v>固定十字段</x:v>
      </x:c>
    </x:row>
    <x:row r="4" ht="28" customHeight="1">
      <x:c r="A4" s="96" t="str">
        <x:v>镜头数量</x:v>
      </x:c>
      <x:c r="B4" s="97" t="n">
        <x:v>14</x:v>
      </x:c>
    </x:row>
    <x:row r="5" ht="28" customHeight="1">
      <x:c r="A5" s="96" t="str">
        <x:v>画面总时长（秒）</x:v>
      </x:c>
      <x:c r="B5" s="98" t="n">
        <x:f>SUM('AI02分镜表'!D2:D15)</x:f>
        <x:v>43</x:v>
      </x:c>
    </x:row>
    <x:row r="6" ht="28" customHeight="1">
      <x:c r="A6" s="96" t="str">
        <x:v>真人配音时长（秒）</x:v>
      </x:c>
      <x:c r="B6" s="98" t="n">
        <x:v>26.671</x:v>
      </x:c>
    </x:row>
    <x:row r="7" ht="28" customHeight="1">
      <x:c r="A7" s="96" t="str">
        <x:v>画面余量（秒）</x:v>
      </x:c>
      <x:c r="B7" s="98" t="n">
        <x:f>B5-B6</x:f>
        <x:v>16.329</x:v>
      </x:c>
    </x:row>
    <x:row r="8" ht="28" customHeight="1">
      <x:c r="A8" s="96" t="str">
        <x:v>正式Prompt状态</x:v>
      </x:c>
      <x:c r="B8" s="97" t="str">
        <x:v>已编写；正式执行docs/36 V1.3；V1.0至V1.2停用</x:v>
      </x:c>
    </x:row>
    <x:row r="10">
      <x:c r="A10" s="106" t="str">
        <x:v>唯一人物调度</x:v>
      </x:c>
      <x:c r="B10" s="106"/>
      <x:c r="C10" s="106"/>
      <x:c r="D10" s="106"/>
      <x:c r="E10" s="106"/>
      <x:c r="F10" s="106"/>
    </x:row>
    <x:row r="11" ht="40" customHeight="1">
      <x:c r="A11" s="114" t="str">
        <x:v>林如蔚从药草桌走到低矮篱笆露天开口旁的平整院地后留在该处，不下至岸边；G04第一镜作为小院远景中的小比例等待人物。苏珏独立完成小舟停稳、下船和沿上坡石路回院，二人只在同一块平整院地完成递包与擦汗。</x:v>
      </x:c>
      <x:c r="B11" s="114"/>
      <x:c r="C11" s="114"/>
      <x:c r="D11" s="114"/>
      <x:c r="E11" s="114"/>
      <x:c r="F11" s="114"/>
    </x:row>
    <x:row r="12" ht="40" customHeight="1">
      <x:c r="A12" s="114"/>
      <x:c r="B12" s="114"/>
      <x:c r="C12" s="114"/>
      <x:c r="D12" s="114"/>
      <x:c r="E12" s="114"/>
      <x:c r="F12" s="114"/>
    </x:row>
    <x:row r="14">
      <x:c r="A14" s="106" t="str">
        <x:v>统一光源、湖风与审美</x:v>
      </x:c>
      <x:c r="B14" s="106"/>
      <x:c r="C14" s="106"/>
      <x:c r="D14" s="106"/>
      <x:c r="E14" s="106"/>
      <x:c r="F14" s="106"/>
    </x:row>
    <x:row r="15" ht="38" customHeight="1">
      <x:c r="A15" s="114" t="str">
        <x:v>同一轮低角度清晨太阳固定在湖面右前方的世界方位；湖风由湖面吹向小院，只轻动少量碎发、长发末端、衣袖和衣摆。以劳作、归舟、等待与照料表现克制、熟稔、真实的田园生活浪漫感。</x:v>
      </x:c>
      <x:c r="B15" s="114"/>
      <x:c r="C15" s="114"/>
      <x:c r="D15" s="114"/>
      <x:c r="E15" s="114"/>
      <x:c r="F15" s="114"/>
    </x:row>
    <x:row r="16" ht="38" customHeight="1">
      <x:c r="A16" s="114"/>
      <x:c r="B16" s="114"/>
      <x:c r="C16" s="114"/>
      <x:c r="D16" s="114"/>
      <x:c r="E16" s="114"/>
      <x:c r="F16" s="114"/>
    </x:row>
    <x:row r="17" ht="38" customHeight="1">
      <x:c r="A17" s="114"/>
      <x:c r="B17" s="114"/>
      <x:c r="C17" s="114"/>
      <x:c r="D17" s="114"/>
      <x:c r="E17" s="114"/>
      <x:c r="F17" s="114"/>
    </x:row>
    <x:row r="19" ht="36" customHeight="1">
      <x:c r="A19" s="122" t="str">
        <x:v>V1.0-DRAFT因自定义十字段及双重行为表述停用。V1.1-DRAFT使用规则系统v1.0.1阶段3A固定字段，并已按正式Prompt V1.3同步场景、人物站位和G04等待连续性；正式执行以docs/36 V1.3为准。</x:v>
      </x:c>
      <x:c r="B19" s="122"/>
      <x:c r="C19" s="122"/>
      <x:c r="D19" s="122"/>
      <x:c r="E19" s="122"/>
      <x:c r="F19" s="122"/>
    </x:row>
    <x:row r="20" ht="36" customHeight="1">
      <x:c r="A20" s="122"/>
      <x:c r="B20" s="122"/>
      <x:c r="C20" s="122"/>
      <x:c r="D20" s="122"/>
      <x:c r="E20" s="122"/>
      <x:c r="F20" s="122"/>
    </x:row>
  </x:sheetData>
  <x:mergeCells>
    <x:mergeCell ref="A1:F1"/>
    <x:mergeCell ref="A10:F10"/>
    <x:mergeCell ref="A11:F12"/>
    <x:mergeCell ref="A14:F14"/>
    <x:mergeCell ref="A15:F17"/>
    <x:mergeCell ref="A19:F20"/>
  </x:mergeCells>
  <x:pageMargins left="0.7" right="0.7" top="0.75" bottom="0.75" header="0.3" footer="0.3"/>
</x:worksheet>
</file>